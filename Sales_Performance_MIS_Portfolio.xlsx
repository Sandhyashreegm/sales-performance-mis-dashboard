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872" windowHeight="7800"/>
  </bookViews>
  <sheets>
    <sheet name="Read_Me" sheetId="1" r:id="rId1"/>
    <sheet name="Raw_Data" sheetId="2" r:id="rId2"/>
    <sheet name="Cleaned_Data" sheetId="3" r:id="rId3"/>
    <sheet name="Excel_Dashboard" sheetId="4" r:id="rId4"/>
  </sheets>
  <definedNames>
    <definedName name="_xlnm._FilterDatabase" localSheetId="1" hidden="1">Raw_Data!$A$1:$L$651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<sst xmlns="http://schemas.openxmlformats.org/spreadsheetml/2006/main" count="5976" uniqueCount="1144">
  <si>
    <t>Portfolio Project – Sales Performance &amp; MIS Dashboard</t>
  </si>
  <si>
    <t>Project objective: demonstrate Excel data cleaning, formula-driven transformation, KPI reporting, and dashboarding for an MIS/Data Analyst role.</t>
  </si>
  <si>
    <t>Workflow: Raw_Data -&gt; Cleaned_Data (formula-based) -&gt; Excel_Dashboard.</t>
  </si>
  <si>
    <t>Raw_Data intentionally contains inconsistent capitalization, spaces, alternate city names, missing values, invalid quantities/prices, mixed date formats, and duplicate order IDs.</t>
  </si>
  <si>
    <t>Cleaning is formula-driven. Key formulas use TRIM, PROPER, IFERROR, IF, MAX, VALUE, DATEVALUE, SUMIFS, COUNTIF, and EDATE.</t>
  </si>
  <si>
    <t>Calculated business metrics: Gross Sales, Discount Amount, Net Sales, Estimated Cost, Profit, Profit Margin, and Order Month.</t>
  </si>
  <si>
    <t>Quality checks updated: duplicate Order_ID values are flagged in Cleaned_Data; common city-name variants are standardized.</t>
  </si>
  <si>
    <t>Dashboard KPI formulas: Profit Margin = Total Profit / Net Sales; Average Order Value = Net Sales / Total Orders.</t>
  </si>
  <si>
    <t>Note: non-positive quantities are floored to zero in the cleaned calculation and flagged as CHECK. Estimated costs use illustrative category assumptions.</t>
  </si>
  <si>
    <t>Order_ID</t>
  </si>
  <si>
    <t>Order_Date</t>
  </si>
  <si>
    <t>Salesperson</t>
  </si>
  <si>
    <t>City</t>
  </si>
  <si>
    <t>Sales_Channel</t>
  </si>
  <si>
    <t>Customer_Segment</t>
  </si>
  <si>
    <t>Category</t>
  </si>
  <si>
    <t>Product</t>
  </si>
  <si>
    <t>Quantity</t>
  </si>
  <si>
    <t>Unit_Price</t>
  </si>
  <si>
    <t>Discount</t>
  </si>
  <si>
    <t>Order_Status</t>
  </si>
  <si>
    <t>ORD-10001</t>
  </si>
  <si>
    <t>13/06/2026</t>
  </si>
  <si>
    <t>Ravi</t>
  </si>
  <si>
    <t xml:space="preserve">Mumbai </t>
  </si>
  <si>
    <t>Online</t>
  </si>
  <si>
    <t>Consumer</t>
  </si>
  <si>
    <t>Laptop</t>
  </si>
  <si>
    <t>Laptop Pro 14</t>
  </si>
  <si>
    <t>Pending</t>
  </si>
  <si>
    <t>ORD-10002</t>
  </si>
  <si>
    <t>2026-07-15</t>
  </si>
  <si>
    <t>chennai</t>
  </si>
  <si>
    <t>Corporate</t>
  </si>
  <si>
    <t>Keyboard</t>
  </si>
  <si>
    <t>Keyboard Wireless</t>
  </si>
  <si>
    <t>Returned</t>
  </si>
  <si>
    <t>ORD-10003</t>
  </si>
  <si>
    <t>2026-01-26</t>
  </si>
  <si>
    <t>Priya</t>
  </si>
  <si>
    <t>MYSURU</t>
  </si>
  <si>
    <t>Retail Store</t>
  </si>
  <si>
    <t>Mouse</t>
  </si>
  <si>
    <t>Mouse Ergonomic</t>
  </si>
  <si>
    <t>ORD-10004</t>
  </si>
  <si>
    <t>24/02/2026</t>
  </si>
  <si>
    <t>Bhoomika</t>
  </si>
  <si>
    <t>DELHI</t>
  </si>
  <si>
    <t>SMB</t>
  </si>
  <si>
    <t>Headset</t>
  </si>
  <si>
    <t>Headset Office</t>
  </si>
  <si>
    <t>Delivered</t>
  </si>
  <si>
    <t>ORD-10005</t>
  </si>
  <si>
    <t>2026-01-17</t>
  </si>
  <si>
    <t>Arjun</t>
  </si>
  <si>
    <t xml:space="preserve"> mysuru</t>
  </si>
  <si>
    <t>retail store</t>
  </si>
  <si>
    <t>Cancelled</t>
  </si>
  <si>
    <t>ORD-10006</t>
  </si>
  <si>
    <t>2026-02-20</t>
  </si>
  <si>
    <t>Hyderabad</t>
  </si>
  <si>
    <t>Monitor</t>
  </si>
  <si>
    <t>Monitor 27</t>
  </si>
  <si>
    <t>ORD-10007</t>
  </si>
  <si>
    <t>05/06/2026</t>
  </si>
  <si>
    <t xml:space="preserve"> arjun </t>
  </si>
  <si>
    <t>Pune</t>
  </si>
  <si>
    <t>Mouse Wireless</t>
  </si>
  <si>
    <t>ORD-10008</t>
  </si>
  <si>
    <t>2026-02-03</t>
  </si>
  <si>
    <t>Kiran</t>
  </si>
  <si>
    <t>Mysore</t>
  </si>
  <si>
    <t>ORD-10009</t>
  </si>
  <si>
    <t>2026-04-29</t>
  </si>
  <si>
    <t>Neha</t>
  </si>
  <si>
    <t>Monitor 24</t>
  </si>
  <si>
    <t>ORD-10010</t>
  </si>
  <si>
    <t>05/05/2026</t>
  </si>
  <si>
    <t xml:space="preserve"> priya </t>
  </si>
  <si>
    <t xml:space="preserve"> MUMBAI</t>
  </si>
  <si>
    <t>ORD-10011</t>
  </si>
  <si>
    <t>25/05/2026</t>
  </si>
  <si>
    <t>Mumbai</t>
  </si>
  <si>
    <t>Headset Wireless</t>
  </si>
  <si>
    <t>ORD-10012</t>
  </si>
  <si>
    <t>23/04/2026</t>
  </si>
  <si>
    <t>mumbai</t>
  </si>
  <si>
    <t>ORD-10013</t>
  </si>
  <si>
    <t>2026-03-27</t>
  </si>
  <si>
    <t>Asha</t>
  </si>
  <si>
    <t>Monitor 32</t>
  </si>
  <si>
    <t>ORD-10014</t>
  </si>
  <si>
    <t>08/06/2026</t>
  </si>
  <si>
    <t>Hydrabad</t>
  </si>
  <si>
    <t>Enterprise</t>
  </si>
  <si>
    <t>ORD-10015</t>
  </si>
  <si>
    <t>18/01/2026</t>
  </si>
  <si>
    <t>KOCHI</t>
  </si>
  <si>
    <t>Keyboard Mechanical</t>
  </si>
  <si>
    <t>ORD-10016</t>
  </si>
  <si>
    <t>2026-07-09</t>
  </si>
  <si>
    <t>ORD-10017</t>
  </si>
  <si>
    <t>24/03/2026</t>
  </si>
  <si>
    <t>ORD-10018</t>
  </si>
  <si>
    <t>2026-02-19</t>
  </si>
  <si>
    <t xml:space="preserve"> kochi</t>
  </si>
  <si>
    <t>ORD-10019</t>
  </si>
  <si>
    <t>18/08/2026</t>
  </si>
  <si>
    <t>ORD-10020</t>
  </si>
  <si>
    <t>2026-02-22</t>
  </si>
  <si>
    <t>Meghana</t>
  </si>
  <si>
    <t>Bangalore</t>
  </si>
  <si>
    <t>ORD-10021</t>
  </si>
  <si>
    <t>2026-06-19</t>
  </si>
  <si>
    <t>Kochi</t>
  </si>
  <si>
    <t>ORD-10022</t>
  </si>
  <si>
    <t>2026-02-21</t>
  </si>
  <si>
    <t>Business Laptop 15</t>
  </si>
  <si>
    <t>ORD-10023</t>
  </si>
  <si>
    <t>2026-06-01</t>
  </si>
  <si>
    <t>ORD-10024</t>
  </si>
  <si>
    <t>04/05/2026</t>
  </si>
  <si>
    <t/>
  </si>
  <si>
    <t>ORD-10025</t>
  </si>
  <si>
    <t>04/07/2026</t>
  </si>
  <si>
    <t xml:space="preserve"> pune </t>
  </si>
  <si>
    <t>ORD-10026</t>
  </si>
  <si>
    <t>PUNE</t>
  </si>
  <si>
    <t>ORD-10027</t>
  </si>
  <si>
    <t>2026-01-14</t>
  </si>
  <si>
    <t xml:space="preserve"> CHENNAI</t>
  </si>
  <si>
    <t>ORD-10028</t>
  </si>
  <si>
    <t>2026-01-16</t>
  </si>
  <si>
    <t>ORD-10029</t>
  </si>
  <si>
    <t>28/08/2026</t>
  </si>
  <si>
    <t xml:space="preserve">Chennai </t>
  </si>
  <si>
    <t>ORD-10030</t>
  </si>
  <si>
    <t>2026-06-22</t>
  </si>
  <si>
    <t>Bengaluru</t>
  </si>
  <si>
    <t>ORD-10031</t>
  </si>
  <si>
    <t>2026-04-27</t>
  </si>
  <si>
    <t>Laptop Air 13</t>
  </si>
  <si>
    <t>ORD-10032</t>
  </si>
  <si>
    <t>10/02/2026</t>
  </si>
  <si>
    <t xml:space="preserve"> bengaluru</t>
  </si>
  <si>
    <t>Keyboard Office</t>
  </si>
  <si>
    <t>ORD-10033</t>
  </si>
  <si>
    <t>2026-07-17</t>
  </si>
  <si>
    <t>ORD-10034</t>
  </si>
  <si>
    <t>2026-04-09</t>
  </si>
  <si>
    <t>ORD-10035</t>
  </si>
  <si>
    <t>14/07/2026</t>
  </si>
  <si>
    <t>BENGALURU</t>
  </si>
  <si>
    <t>online</t>
  </si>
  <si>
    <t>Mouse Basic</t>
  </si>
  <si>
    <t>ORD-10036</t>
  </si>
  <si>
    <t>2026-04-08</t>
  </si>
  <si>
    <t>ORD-10037</t>
  </si>
  <si>
    <t>02/03/2026</t>
  </si>
  <si>
    <t xml:space="preserve"> delhi</t>
  </si>
  <si>
    <t>ORD-10038</t>
  </si>
  <si>
    <t>2026-01-25</t>
  </si>
  <si>
    <t>ORD-10039</t>
  </si>
  <si>
    <t>2026-01-20</t>
  </si>
  <si>
    <t>ORD-10040</t>
  </si>
  <si>
    <t>05/02/2026</t>
  </si>
  <si>
    <t>ORD-10041</t>
  </si>
  <si>
    <t>2026-05-20</t>
  </si>
  <si>
    <t xml:space="preserve"> asha </t>
  </si>
  <si>
    <t>ORD-10042</t>
  </si>
  <si>
    <t>2026-02-07</t>
  </si>
  <si>
    <t>ORD-10043</t>
  </si>
  <si>
    <t>10/08/2026</t>
  </si>
  <si>
    <t>ORD-10044</t>
  </si>
  <si>
    <t>17/06/2026</t>
  </si>
  <si>
    <t>ORD-10045</t>
  </si>
  <si>
    <t>2026-05-24</t>
  </si>
  <si>
    <t>ORD-10046</t>
  </si>
  <si>
    <t>07/01/2026</t>
  </si>
  <si>
    <t xml:space="preserve"> kiran </t>
  </si>
  <si>
    <t>ORD-10047</t>
  </si>
  <si>
    <t>09/02/2026</t>
  </si>
  <si>
    <t>ORD-10048</t>
  </si>
  <si>
    <t>16/07/2026</t>
  </si>
  <si>
    <t xml:space="preserve"> Consumer </t>
  </si>
  <si>
    <t>ORD-10049</t>
  </si>
  <si>
    <t>14/04/2026</t>
  </si>
  <si>
    <t>ORD-10050</t>
  </si>
  <si>
    <t>27/01/2026</t>
  </si>
  <si>
    <t>ORD-10051</t>
  </si>
  <si>
    <t>2026-03-21</t>
  </si>
  <si>
    <t xml:space="preserve">Bangalore </t>
  </si>
  <si>
    <t>ORD-10052</t>
  </si>
  <si>
    <t>29/03/2026</t>
  </si>
  <si>
    <t>corporate</t>
  </si>
  <si>
    <t>ORD-10053</t>
  </si>
  <si>
    <t>ORD-10054</t>
  </si>
  <si>
    <t>2026-02-05</t>
  </si>
  <si>
    <t>ORD-10055</t>
  </si>
  <si>
    <t>20/07/2026</t>
  </si>
  <si>
    <t>Delhi</t>
  </si>
  <si>
    <t>ORD-10056</t>
  </si>
  <si>
    <t>2026-02-26</t>
  </si>
  <si>
    <t>ORD-10057</t>
  </si>
  <si>
    <t>2026-01-05</t>
  </si>
  <si>
    <t>ORD-10058</t>
  </si>
  <si>
    <t>2026-02-17</t>
  </si>
  <si>
    <t>ORD-10059</t>
  </si>
  <si>
    <t>2026-07-19</t>
  </si>
  <si>
    <t>Mysuru</t>
  </si>
  <si>
    <t>ORD-10060</t>
  </si>
  <si>
    <t>05/04/2026</t>
  </si>
  <si>
    <t>ORD-10061</t>
  </si>
  <si>
    <t>25/04/2026</t>
  </si>
  <si>
    <t xml:space="preserve"> Enterprise </t>
  </si>
  <si>
    <t>ORD-10062</t>
  </si>
  <si>
    <t>2026-04-05</t>
  </si>
  <si>
    <t>ORD-10063</t>
  </si>
  <si>
    <t>2026-08-19</t>
  </si>
  <si>
    <t>New Delhi</t>
  </si>
  <si>
    <t>ORD-10064</t>
  </si>
  <si>
    <t>15/05/2026</t>
  </si>
  <si>
    <t>ORD-10065</t>
  </si>
  <si>
    <t>2026-01-21</t>
  </si>
  <si>
    <t>ORD-10066</t>
  </si>
  <si>
    <t>2026-03-19</t>
  </si>
  <si>
    <t>ORD-10067</t>
  </si>
  <si>
    <t>13/01/2026</t>
  </si>
  <si>
    <t>ORD-10068</t>
  </si>
  <si>
    <t>18/05/2026</t>
  </si>
  <si>
    <t>ORD-10069</t>
  </si>
  <si>
    <t>2026-06-04</t>
  </si>
  <si>
    <t>ORD-10070</t>
  </si>
  <si>
    <t>26/03/2026</t>
  </si>
  <si>
    <t>ORD-10071</t>
  </si>
  <si>
    <t>01/05/2026</t>
  </si>
  <si>
    <t>ORD-10072</t>
  </si>
  <si>
    <t>23/02/2026</t>
  </si>
  <si>
    <t>ORD-10073</t>
  </si>
  <si>
    <t>2026-03-03</t>
  </si>
  <si>
    <t>ORD-10074</t>
  </si>
  <si>
    <t>ORD-10075</t>
  </si>
  <si>
    <t>17/02/2026</t>
  </si>
  <si>
    <t xml:space="preserve"> SMB </t>
  </si>
  <si>
    <t>N/A</t>
  </si>
  <si>
    <t>ORD-10076</t>
  </si>
  <si>
    <t>27/06/2026</t>
  </si>
  <si>
    <t>ORD-10077</t>
  </si>
  <si>
    <t>13/07/2026</t>
  </si>
  <si>
    <t>Headset Pro</t>
  </si>
  <si>
    <t>ORD-10078</t>
  </si>
  <si>
    <t>29/04/2026</t>
  </si>
  <si>
    <t>ORD-10079</t>
  </si>
  <si>
    <t>2026-04-25</t>
  </si>
  <si>
    <t>ORD-10080</t>
  </si>
  <si>
    <t>27/07/2026</t>
  </si>
  <si>
    <t>ORD-10081</t>
  </si>
  <si>
    <t>2026-07-29</t>
  </si>
  <si>
    <t>ORD-10082</t>
  </si>
  <si>
    <t>06/08/2026</t>
  </si>
  <si>
    <t>ORD-10083</t>
  </si>
  <si>
    <t>24/05/2026</t>
  </si>
  <si>
    <t>ORD-10084</t>
  </si>
  <si>
    <t>23/03/2026</t>
  </si>
  <si>
    <t>ORD-10085</t>
  </si>
  <si>
    <t>13/02/2026</t>
  </si>
  <si>
    <t>ORD-10086</t>
  </si>
  <si>
    <t>22/05/2026</t>
  </si>
  <si>
    <t>ORD-10087</t>
  </si>
  <si>
    <t>Cochin</t>
  </si>
  <si>
    <t>ORD-10088</t>
  </si>
  <si>
    <t>ORD-10089</t>
  </si>
  <si>
    <t>2026-06-02</t>
  </si>
  <si>
    <t>ORD-10090</t>
  </si>
  <si>
    <t>2026-04-03</t>
  </si>
  <si>
    <t>ORD-10091</t>
  </si>
  <si>
    <t>ORD-10092</t>
  </si>
  <si>
    <t>2026-04-21</t>
  </si>
  <si>
    <t>ORD-10093</t>
  </si>
  <si>
    <t>ORD-10094</t>
  </si>
  <si>
    <t>ORD-10095</t>
  </si>
  <si>
    <t xml:space="preserve"> ravi </t>
  </si>
  <si>
    <t>ORD-10096</t>
  </si>
  <si>
    <t>ORD-10097</t>
  </si>
  <si>
    <t>2026-03-31</t>
  </si>
  <si>
    <t>HYDERABAD</t>
  </si>
  <si>
    <t>ORD-10098</t>
  </si>
  <si>
    <t>03/01/2026</t>
  </si>
  <si>
    <t>ORD-10099</t>
  </si>
  <si>
    <t>2026-05-27</t>
  </si>
  <si>
    <t>ORD-10100</t>
  </si>
  <si>
    <t>2026-02-12</t>
  </si>
  <si>
    <t>ORD-10101</t>
  </si>
  <si>
    <t>ORD-10102</t>
  </si>
  <si>
    <t>02/04/2026</t>
  </si>
  <si>
    <t>ORD-10103</t>
  </si>
  <si>
    <t>ORD-10104</t>
  </si>
  <si>
    <t>2026-06-28</t>
  </si>
  <si>
    <t>ORD-10105</t>
  </si>
  <si>
    <t>24/04/2026</t>
  </si>
  <si>
    <t>ORD-10106</t>
  </si>
  <si>
    <t>03/03/2026</t>
  </si>
  <si>
    <t>Chennai</t>
  </si>
  <si>
    <t>ORD-10107</t>
  </si>
  <si>
    <t>ORD-10108</t>
  </si>
  <si>
    <t>06/06/2026</t>
  </si>
  <si>
    <t>ORD-10109</t>
  </si>
  <si>
    <t>11/05/2026</t>
  </si>
  <si>
    <t xml:space="preserve">Meghana  </t>
  </si>
  <si>
    <t>ORD-10110</t>
  </si>
  <si>
    <t>05/03/2026</t>
  </si>
  <si>
    <t>ORD-10111</t>
  </si>
  <si>
    <t>07/05/2026</t>
  </si>
  <si>
    <t>ORD-10112</t>
  </si>
  <si>
    <t>2026-08-05</t>
  </si>
  <si>
    <t>ORD-10113</t>
  </si>
  <si>
    <t>30/05/2026</t>
  </si>
  <si>
    <t xml:space="preserve"> ORD-10114 </t>
  </si>
  <si>
    <t>18/03/2026</t>
  </si>
  <si>
    <t>ORD-10115</t>
  </si>
  <si>
    <t>2026-08-20</t>
  </si>
  <si>
    <t>ORD-10116</t>
  </si>
  <si>
    <t>09/04/2026</t>
  </si>
  <si>
    <t>ORD-10117</t>
  </si>
  <si>
    <t>2026-03-01</t>
  </si>
  <si>
    <t>ORD-10118</t>
  </si>
  <si>
    <t>2026-01-24</t>
  </si>
  <si>
    <t>ORD-10119</t>
  </si>
  <si>
    <t>ORD-10120</t>
  </si>
  <si>
    <t>2026-03-26</t>
  </si>
  <si>
    <t>ORD-10121</t>
  </si>
  <si>
    <t>ORD-10122</t>
  </si>
  <si>
    <t>22/04/2026</t>
  </si>
  <si>
    <t>ORD-10123</t>
  </si>
  <si>
    <t>ORD-10124</t>
  </si>
  <si>
    <t>16/04/2026</t>
  </si>
  <si>
    <t>ORD-10125</t>
  </si>
  <si>
    <t>11/01/2026</t>
  </si>
  <si>
    <t>ORD-10126</t>
  </si>
  <si>
    <t>ORD-10127</t>
  </si>
  <si>
    <t>06/05/2026</t>
  </si>
  <si>
    <t>ORD-10128</t>
  </si>
  <si>
    <t>08/01/2026</t>
  </si>
  <si>
    <t>ORD-10129</t>
  </si>
  <si>
    <t>2026-06-26</t>
  </si>
  <si>
    <t xml:space="preserve"> ORD-10130 </t>
  </si>
  <si>
    <t>2026-08-18</t>
  </si>
  <si>
    <t>ORD-10131</t>
  </si>
  <si>
    <t>08/02/2026</t>
  </si>
  <si>
    <t>ORD-10132</t>
  </si>
  <si>
    <t xml:space="preserve"> hyderabad</t>
  </si>
  <si>
    <t>ORD-10133</t>
  </si>
  <si>
    <t>19/02/2026</t>
  </si>
  <si>
    <t>ORD-10134</t>
  </si>
  <si>
    <t>21/07/2026</t>
  </si>
  <si>
    <t>ORD-10135</t>
  </si>
  <si>
    <t>ORD-10136</t>
  </si>
  <si>
    <t>ORD-10137</t>
  </si>
  <si>
    <t>ORD-10138</t>
  </si>
  <si>
    <t>24/01/2026</t>
  </si>
  <si>
    <t>ORD-10139</t>
  </si>
  <si>
    <t>07/07/2026</t>
  </si>
  <si>
    <t>ORD-10140</t>
  </si>
  <si>
    <t>ORD-10141</t>
  </si>
  <si>
    <t>14/06/2026</t>
  </si>
  <si>
    <t>ORD-10142</t>
  </si>
  <si>
    <t>2026-07-10</t>
  </si>
  <si>
    <t>ORD-10143</t>
  </si>
  <si>
    <t>2026-06-12</t>
  </si>
  <si>
    <t>ORD-10144</t>
  </si>
  <si>
    <t>31/05/2026</t>
  </si>
  <si>
    <t>ORD-10145</t>
  </si>
  <si>
    <t>26/07/2026</t>
  </si>
  <si>
    <t>ORD-10146</t>
  </si>
  <si>
    <t>20/06/2026</t>
  </si>
  <si>
    <t>ORD-10147</t>
  </si>
  <si>
    <t>2026-02-27</t>
  </si>
  <si>
    <t>ORD-10148</t>
  </si>
  <si>
    <t>24/06/2026</t>
  </si>
  <si>
    <t xml:space="preserve"> bhoomika </t>
  </si>
  <si>
    <t>ORD-10149</t>
  </si>
  <si>
    <t>ORD-10150</t>
  </si>
  <si>
    <t>2026-08-15</t>
  </si>
  <si>
    <t>ORD-10152</t>
  </si>
  <si>
    <t>2026-05-30</t>
  </si>
  <si>
    <t>ORD-10153</t>
  </si>
  <si>
    <t>ORD-10154</t>
  </si>
  <si>
    <t>2026-08-06</t>
  </si>
  <si>
    <t>ORD-10155</t>
  </si>
  <si>
    <t>2026-07-21</t>
  </si>
  <si>
    <t>ORD-10156</t>
  </si>
  <si>
    <t>ORD-10157</t>
  </si>
  <si>
    <t>ORD-10158</t>
  </si>
  <si>
    <t>09/07/2026</t>
  </si>
  <si>
    <t>ORD-10159</t>
  </si>
  <si>
    <t>ORD-10160</t>
  </si>
  <si>
    <t>2026-06-13</t>
  </si>
  <si>
    <t>ORD-10161</t>
  </si>
  <si>
    <t>21/08/2026</t>
  </si>
  <si>
    <t>ORD-10162</t>
  </si>
  <si>
    <t>08/04/2026</t>
  </si>
  <si>
    <t xml:space="preserve">Kiran  </t>
  </si>
  <si>
    <t>ORD-10163</t>
  </si>
  <si>
    <t>2026-03-08</t>
  </si>
  <si>
    <t>ORD-10164</t>
  </si>
  <si>
    <t>21/05/2026</t>
  </si>
  <si>
    <t>ORD-10165</t>
  </si>
  <si>
    <t>ORD-10166</t>
  </si>
  <si>
    <t>2026-08-23</t>
  </si>
  <si>
    <t>ORD-10167</t>
  </si>
  <si>
    <t>28/04/2026</t>
  </si>
  <si>
    <t>ORD-10168</t>
  </si>
  <si>
    <t>ORD-10169</t>
  </si>
  <si>
    <t xml:space="preserve">Neha  </t>
  </si>
  <si>
    <t>ORD-10170</t>
  </si>
  <si>
    <t>2026-03-25</t>
  </si>
  <si>
    <t>ORD-10171</t>
  </si>
  <si>
    <t>08/08/2026</t>
  </si>
  <si>
    <t>ORD-10172</t>
  </si>
  <si>
    <t>ORD-10173</t>
  </si>
  <si>
    <t>28/03/2026</t>
  </si>
  <si>
    <t>ORD-10174</t>
  </si>
  <si>
    <t>ORD-10175</t>
  </si>
  <si>
    <t>23/08/2026</t>
  </si>
  <si>
    <t>ORD-10176</t>
  </si>
  <si>
    <t>2026-03-30</t>
  </si>
  <si>
    <t>ORD-10177</t>
  </si>
  <si>
    <t>ORD-10178</t>
  </si>
  <si>
    <t>2026-05-07</t>
  </si>
  <si>
    <t>ORD-10179</t>
  </si>
  <si>
    <t>2026-07-08</t>
  </si>
  <si>
    <t>ORD-10180</t>
  </si>
  <si>
    <t>2026-03-12</t>
  </si>
  <si>
    <t>ORD-10181</t>
  </si>
  <si>
    <t>ORD-10182</t>
  </si>
  <si>
    <t>2026-03-09</t>
  </si>
  <si>
    <t>ORD-10183</t>
  </si>
  <si>
    <t>03/02/2026</t>
  </si>
  <si>
    <t>ORD-10184</t>
  </si>
  <si>
    <t>15/01/2026</t>
  </si>
  <si>
    <t>ORD-10185</t>
  </si>
  <si>
    <t>ORD-10186</t>
  </si>
  <si>
    <t>2026-04-12</t>
  </si>
  <si>
    <t>ORD-10187</t>
  </si>
  <si>
    <t>ORD-10188</t>
  </si>
  <si>
    <t>11/07/2026</t>
  </si>
  <si>
    <t>ORD-10189</t>
  </si>
  <si>
    <t>13/04/2026</t>
  </si>
  <si>
    <t>ORD-10190</t>
  </si>
  <si>
    <t>02/06/2026</t>
  </si>
  <si>
    <t>ORD-10191</t>
  </si>
  <si>
    <t>ORD-10192</t>
  </si>
  <si>
    <t>26/01/2026</t>
  </si>
  <si>
    <t>ORD-10193</t>
  </si>
  <si>
    <t>28/07/2026</t>
  </si>
  <si>
    <t>ORD-10194</t>
  </si>
  <si>
    <t>ORD-10195</t>
  </si>
  <si>
    <t>ORD-10196</t>
  </si>
  <si>
    <t>21/02/2026</t>
  </si>
  <si>
    <t>ORD-10197</t>
  </si>
  <si>
    <t>08/07/2026</t>
  </si>
  <si>
    <t>ORD-10198</t>
  </si>
  <si>
    <t>2026-03-24</t>
  </si>
  <si>
    <t>ORD-10199</t>
  </si>
  <si>
    <t>27/03/2026</t>
  </si>
  <si>
    <t>ORD-10200</t>
  </si>
  <si>
    <t>18/06/2026</t>
  </si>
  <si>
    <t xml:space="preserve"> meghana </t>
  </si>
  <si>
    <t>ORD-10201</t>
  </si>
  <si>
    <t>29/06/2026</t>
  </si>
  <si>
    <t>ORD-10202</t>
  </si>
  <si>
    <t>16/05/2026</t>
  </si>
  <si>
    <t>ORD-10203</t>
  </si>
  <si>
    <t>12/01/2026</t>
  </si>
  <si>
    <t>ORD-10204</t>
  </si>
  <si>
    <t>ORD-10205</t>
  </si>
  <si>
    <t>ORD-10206</t>
  </si>
  <si>
    <t>ORD-10207</t>
  </si>
  <si>
    <t>ORD-10208</t>
  </si>
  <si>
    <t>2026-04-24</t>
  </si>
  <si>
    <t>ORD-10209</t>
  </si>
  <si>
    <t>27/04/2026</t>
  </si>
  <si>
    <t>ORD-10210</t>
  </si>
  <si>
    <t>2026-07-02</t>
  </si>
  <si>
    <t>ORD-10211</t>
  </si>
  <si>
    <t>2026-08-03</t>
  </si>
  <si>
    <t>ORD-10212</t>
  </si>
  <si>
    <t>13/08/2026</t>
  </si>
  <si>
    <t>ORD-10213</t>
  </si>
  <si>
    <t>2026-02-14</t>
  </si>
  <si>
    <t>ORD-10214</t>
  </si>
  <si>
    <t>29/07/2026</t>
  </si>
  <si>
    <t>ORD-10215</t>
  </si>
  <si>
    <t>ORD-10216</t>
  </si>
  <si>
    <t>ORD-10217</t>
  </si>
  <si>
    <t>ORD-10218</t>
  </si>
  <si>
    <t>2026-07-12</t>
  </si>
  <si>
    <t xml:space="preserve"> ORD-10219 </t>
  </si>
  <si>
    <t>2026-06-17</t>
  </si>
  <si>
    <t xml:space="preserve">Asha  </t>
  </si>
  <si>
    <t>ORD-10220</t>
  </si>
  <si>
    <t>25/02/2026</t>
  </si>
  <si>
    <t>ORD-10221</t>
  </si>
  <si>
    <t>2026-07-28</t>
  </si>
  <si>
    <t>ORD-10222</t>
  </si>
  <si>
    <t xml:space="preserve">Ravi  </t>
  </si>
  <si>
    <t>ORD-10223</t>
  </si>
  <si>
    <t>ORD-10224</t>
  </si>
  <si>
    <t>08/05/2026</t>
  </si>
  <si>
    <t>ORD-10225</t>
  </si>
  <si>
    <t>ORD-10226</t>
  </si>
  <si>
    <t>ORD-10227</t>
  </si>
  <si>
    <t>ORD-10228</t>
  </si>
  <si>
    <t>ORD-10229</t>
  </si>
  <si>
    <t>ORD-10230</t>
  </si>
  <si>
    <t>ORD-10231</t>
  </si>
  <si>
    <t>07/08/2026</t>
  </si>
  <si>
    <t>ORD-10232</t>
  </si>
  <si>
    <t>2026-07-27</t>
  </si>
  <si>
    <t>ORD-10233</t>
  </si>
  <si>
    <t>2026-06-30</t>
  </si>
  <si>
    <t>ORD-10234</t>
  </si>
  <si>
    <t>ORD-10235</t>
  </si>
  <si>
    <t>23/06/2026</t>
  </si>
  <si>
    <t>ORD-10236</t>
  </si>
  <si>
    <t>16/03/2026</t>
  </si>
  <si>
    <t>ORD-10237</t>
  </si>
  <si>
    <t>ORD-10238</t>
  </si>
  <si>
    <t>27/08/2026</t>
  </si>
  <si>
    <t>ORD-10239</t>
  </si>
  <si>
    <t>ORD-10240</t>
  </si>
  <si>
    <t>2026-08-07</t>
  </si>
  <si>
    <t>ORD-10241</t>
  </si>
  <si>
    <t>2026-05-15</t>
  </si>
  <si>
    <t>ORD-10242</t>
  </si>
  <si>
    <t>ORD-10243</t>
  </si>
  <si>
    <t>ORD-10244</t>
  </si>
  <si>
    <t>28/06/2026</t>
  </si>
  <si>
    <t>ORD-10245</t>
  </si>
  <si>
    <t>ORD-10246</t>
  </si>
  <si>
    <t>06/03/2026</t>
  </si>
  <si>
    <t>ORD-10247</t>
  </si>
  <si>
    <t>ORD-10248</t>
  </si>
  <si>
    <t>ORD-10249</t>
  </si>
  <si>
    <t>ORD-10250</t>
  </si>
  <si>
    <t>2026-03-06</t>
  </si>
  <si>
    <t>ORD-10251</t>
  </si>
  <si>
    <t>ORD-10252</t>
  </si>
  <si>
    <t>ORD-10253</t>
  </si>
  <si>
    <t>22/01/2026</t>
  </si>
  <si>
    <t>ORD-10254</t>
  </si>
  <si>
    <t>2026-06-20</t>
  </si>
  <si>
    <t>ORD-10255</t>
  </si>
  <si>
    <t>30/07/2026</t>
  </si>
  <si>
    <t>ORD-10256</t>
  </si>
  <si>
    <t>16/01/2026</t>
  </si>
  <si>
    <t>ORD-10257</t>
  </si>
  <si>
    <t>2026-04-22</t>
  </si>
  <si>
    <t>ORD-10258</t>
  </si>
  <si>
    <t>05/07/2026</t>
  </si>
  <si>
    <t>ORD-10259</t>
  </si>
  <si>
    <t>2026-05-17</t>
  </si>
  <si>
    <t xml:space="preserve">Arjun  </t>
  </si>
  <si>
    <t>ORD-10260</t>
  </si>
  <si>
    <t>ORD-10261</t>
  </si>
  <si>
    <t>ORD-10262</t>
  </si>
  <si>
    <t xml:space="preserve"> ORD-10263 </t>
  </si>
  <si>
    <t>ORD-10264</t>
  </si>
  <si>
    <t>2026-02-25</t>
  </si>
  <si>
    <t>ORD-10265</t>
  </si>
  <si>
    <t>23/05/2026</t>
  </si>
  <si>
    <t>ORD-10266</t>
  </si>
  <si>
    <t>2026-02-06</t>
  </si>
  <si>
    <t>ORD-10267</t>
  </si>
  <si>
    <t>ORD-10268</t>
  </si>
  <si>
    <t>2026-01-02</t>
  </si>
  <si>
    <t>ORD-10269</t>
  </si>
  <si>
    <t>ORD-10270</t>
  </si>
  <si>
    <t>21/04/2026</t>
  </si>
  <si>
    <t>ORD-10271</t>
  </si>
  <si>
    <t>11/06/2026</t>
  </si>
  <si>
    <t>ORD-10272</t>
  </si>
  <si>
    <t>ORD-10273</t>
  </si>
  <si>
    <t>2026-02-13</t>
  </si>
  <si>
    <t>ORD-10274</t>
  </si>
  <si>
    <t>ORD-10275</t>
  </si>
  <si>
    <t>ORD-10276</t>
  </si>
  <si>
    <t>2026-05-01</t>
  </si>
  <si>
    <t>ORD-10277</t>
  </si>
  <si>
    <t>ORD-10278</t>
  </si>
  <si>
    <t>ORD-10279</t>
  </si>
  <si>
    <t>17/04/2026</t>
  </si>
  <si>
    <t>ORD-10280</t>
  </si>
  <si>
    <t>07/02/2026</t>
  </si>
  <si>
    <t>ORD-10281</t>
  </si>
  <si>
    <t>31/07/2026</t>
  </si>
  <si>
    <t>ORD-10282</t>
  </si>
  <si>
    <t>06/01/2026</t>
  </si>
  <si>
    <t>ORD-10283</t>
  </si>
  <si>
    <t>05/08/2026</t>
  </si>
  <si>
    <t>ORD-10284</t>
  </si>
  <si>
    <t>ORD-10285</t>
  </si>
  <si>
    <t>ORD-10286</t>
  </si>
  <si>
    <t>ORD-10287</t>
  </si>
  <si>
    <t>ORD-10288</t>
  </si>
  <si>
    <t>2026-07-26</t>
  </si>
  <si>
    <t>ORD-10289</t>
  </si>
  <si>
    <t>02/07/2026</t>
  </si>
  <si>
    <t>ORD-10290</t>
  </si>
  <si>
    <t>ORD-10291</t>
  </si>
  <si>
    <t>ORD-10292</t>
  </si>
  <si>
    <t>2026-08-31</t>
  </si>
  <si>
    <t>ORD-10293</t>
  </si>
  <si>
    <t>2026-06-16</t>
  </si>
  <si>
    <t>ORD-10294</t>
  </si>
  <si>
    <t>ORD-10295</t>
  </si>
  <si>
    <t>ORD-10296</t>
  </si>
  <si>
    <t>ORD-10297</t>
  </si>
  <si>
    <t>19/01/2026</t>
  </si>
  <si>
    <t>ORD-10298</t>
  </si>
  <si>
    <t>2026-08-10</t>
  </si>
  <si>
    <t>ORD-10299</t>
  </si>
  <si>
    <t>ORD-10300</t>
  </si>
  <si>
    <t>ORD-10301</t>
  </si>
  <si>
    <t>ORD-10302</t>
  </si>
  <si>
    <t>2026-05-22</t>
  </si>
  <si>
    <t>ORD-10303</t>
  </si>
  <si>
    <t>2026-04-06</t>
  </si>
  <si>
    <t>ORD-10304</t>
  </si>
  <si>
    <t>2026-05-13</t>
  </si>
  <si>
    <t>ORD-10305</t>
  </si>
  <si>
    <t>ORD-10306</t>
  </si>
  <si>
    <t>26/08/2026</t>
  </si>
  <si>
    <t>ORD-10307</t>
  </si>
  <si>
    <t>ORD-10308</t>
  </si>
  <si>
    <t>2026-01-03</t>
  </si>
  <si>
    <t>ORD-10309</t>
  </si>
  <si>
    <t>26/04/2026</t>
  </si>
  <si>
    <t>ORD-10310</t>
  </si>
  <si>
    <t>2026-01-18</t>
  </si>
  <si>
    <t>ORD-10311</t>
  </si>
  <si>
    <t>ORD-10312</t>
  </si>
  <si>
    <t>ORD-10313</t>
  </si>
  <si>
    <t>2026-06-21</t>
  </si>
  <si>
    <t>ORD-10314</t>
  </si>
  <si>
    <t>ORD-10315</t>
  </si>
  <si>
    <t>ORD-10316</t>
  </si>
  <si>
    <t>2026-01-12</t>
  </si>
  <si>
    <t>ORD-10317</t>
  </si>
  <si>
    <t>2026-05-31</t>
  </si>
  <si>
    <t>ORD-10318</t>
  </si>
  <si>
    <t>15/06/2026</t>
  </si>
  <si>
    <t>ORD-10319</t>
  </si>
  <si>
    <t>01/08/2026</t>
  </si>
  <si>
    <t>ORD-10320</t>
  </si>
  <si>
    <t>2026-07-23</t>
  </si>
  <si>
    <t>ORD-10321</t>
  </si>
  <si>
    <t>ORD-10322</t>
  </si>
  <si>
    <t>2026-06-11</t>
  </si>
  <si>
    <t>ORD-10323</t>
  </si>
  <si>
    <t>ORD-10324</t>
  </si>
  <si>
    <t>ORD-10325</t>
  </si>
  <si>
    <t>2026-01-11</t>
  </si>
  <si>
    <t>ORD-10326</t>
  </si>
  <si>
    <t>2026-08-25</t>
  </si>
  <si>
    <t>ORD-10327</t>
  </si>
  <si>
    <t>2026-08-30</t>
  </si>
  <si>
    <t>ORD-10328</t>
  </si>
  <si>
    <t>03/07/2026</t>
  </si>
  <si>
    <t>ORD-10329</t>
  </si>
  <si>
    <t>ORD-10330</t>
  </si>
  <si>
    <t>ORD-10331</t>
  </si>
  <si>
    <t>2026-08-01</t>
  </si>
  <si>
    <t>ORD-10332</t>
  </si>
  <si>
    <t>ORD-10333</t>
  </si>
  <si>
    <t>2026-04-20</t>
  </si>
  <si>
    <t>ORD-10334</t>
  </si>
  <si>
    <t>16/06/2026</t>
  </si>
  <si>
    <t>ORD-10335</t>
  </si>
  <si>
    <t>2026-08-09</t>
  </si>
  <si>
    <t>ORD-10336</t>
  </si>
  <si>
    <t>2026-03-18</t>
  </si>
  <si>
    <t>ORD-10337</t>
  </si>
  <si>
    <t>ORD-10338</t>
  </si>
  <si>
    <t>2026-07-30</t>
  </si>
  <si>
    <t>ORD-10339</t>
  </si>
  <si>
    <t>ORD-10340</t>
  </si>
  <si>
    <t>07/04/2026</t>
  </si>
  <si>
    <t>ORD-10341</t>
  </si>
  <si>
    <t>2026-07-06</t>
  </si>
  <si>
    <t>ORD-10342</t>
  </si>
  <si>
    <t xml:space="preserve"> ORD-10343 </t>
  </si>
  <si>
    <t>09/03/2026</t>
  </si>
  <si>
    <t>ORD-10344</t>
  </si>
  <si>
    <t>02/01/2026</t>
  </si>
  <si>
    <t>ORD-10345</t>
  </si>
  <si>
    <t>19/08/2026</t>
  </si>
  <si>
    <t>ORD-10346</t>
  </si>
  <si>
    <t>ORD-10347</t>
  </si>
  <si>
    <t>01/06/2026</t>
  </si>
  <si>
    <t>ORD-10348</t>
  </si>
  <si>
    <t>ORD-10349</t>
  </si>
  <si>
    <t>ORD-10350</t>
  </si>
  <si>
    <t>ORD-10351</t>
  </si>
  <si>
    <t>ORD-10352</t>
  </si>
  <si>
    <t>ORD-10353</t>
  </si>
  <si>
    <t>05/01/2026</t>
  </si>
  <si>
    <t>ORD-10354</t>
  </si>
  <si>
    <t>14/03/2026</t>
  </si>
  <si>
    <t>ORD-10355</t>
  </si>
  <si>
    <t>17/07/2026</t>
  </si>
  <si>
    <t>ORD-10356</t>
  </si>
  <si>
    <t>15/08/2026</t>
  </si>
  <si>
    <t>ORD-10357</t>
  </si>
  <si>
    <t>2026-02-15</t>
  </si>
  <si>
    <t>ORD-10358</t>
  </si>
  <si>
    <t>03/05/2026</t>
  </si>
  <si>
    <t>ORD-10359</t>
  </si>
  <si>
    <t>2026-07-03</t>
  </si>
  <si>
    <t>ORD-10360</t>
  </si>
  <si>
    <t>31/01/2026</t>
  </si>
  <si>
    <t>ORD-10361</t>
  </si>
  <si>
    <t>ORD-10362</t>
  </si>
  <si>
    <t>10/07/2026</t>
  </si>
  <si>
    <t>ORD-10363</t>
  </si>
  <si>
    <t xml:space="preserve"> neha </t>
  </si>
  <si>
    <t>ORD-10364</t>
  </si>
  <si>
    <t>ORD-10365</t>
  </si>
  <si>
    <t>ORD-10366</t>
  </si>
  <si>
    <t>11/02/2026</t>
  </si>
  <si>
    <t>ORD-10367</t>
  </si>
  <si>
    <t>06/04/2026</t>
  </si>
  <si>
    <t>ORD-10368</t>
  </si>
  <si>
    <t>ORD-10369</t>
  </si>
  <si>
    <t>2026-07-22</t>
  </si>
  <si>
    <t>ORD-10370</t>
  </si>
  <si>
    <t>12/02/2026</t>
  </si>
  <si>
    <t>ORD-10371</t>
  </si>
  <si>
    <t>ORD-10372</t>
  </si>
  <si>
    <t>2026-05-09</t>
  </si>
  <si>
    <t>ORD-10373</t>
  </si>
  <si>
    <t>23/01/2026</t>
  </si>
  <si>
    <t>ORD-10374</t>
  </si>
  <si>
    <t>30/06/2026</t>
  </si>
  <si>
    <t>ORD-10375</t>
  </si>
  <si>
    <t>ORD-10376</t>
  </si>
  <si>
    <t>01/07/2026</t>
  </si>
  <si>
    <t>ORD-10377</t>
  </si>
  <si>
    <t>ORD-10378</t>
  </si>
  <si>
    <t>26/05/2026</t>
  </si>
  <si>
    <t>ORD-10379</t>
  </si>
  <si>
    <t>ORD-10380</t>
  </si>
  <si>
    <t>ORD-10381</t>
  </si>
  <si>
    <t>ORD-10382</t>
  </si>
  <si>
    <t>ORD-10383</t>
  </si>
  <si>
    <t>30/03/2026</t>
  </si>
  <si>
    <t>ORD-10384</t>
  </si>
  <si>
    <t>ORD-10385</t>
  </si>
  <si>
    <t>28/05/2026</t>
  </si>
  <si>
    <t>ORD-10386</t>
  </si>
  <si>
    <t>2026-07-14</t>
  </si>
  <si>
    <t>ORD-10387</t>
  </si>
  <si>
    <t>ORD-10388</t>
  </si>
  <si>
    <t>ORD-10389</t>
  </si>
  <si>
    <t>ORD-10390</t>
  </si>
  <si>
    <t>ORD-10391</t>
  </si>
  <si>
    <t>01/04/2026</t>
  </si>
  <si>
    <t xml:space="preserve">Priya  </t>
  </si>
  <si>
    <t>ORD-10392</t>
  </si>
  <si>
    <t>ORD-10393</t>
  </si>
  <si>
    <t>ORD-10394</t>
  </si>
  <si>
    <t>2026-07-07</t>
  </si>
  <si>
    <t>ORD-10395</t>
  </si>
  <si>
    <t>19/03/2026</t>
  </si>
  <si>
    <t xml:space="preserve"> ORD-10396 </t>
  </si>
  <si>
    <t>ORD-10397</t>
  </si>
  <si>
    <t>ORD-10398</t>
  </si>
  <si>
    <t xml:space="preserve"> ORD-10399 </t>
  </si>
  <si>
    <t>ORD-10400</t>
  </si>
  <si>
    <t>09/05/2026</t>
  </si>
  <si>
    <t>ORD-10401</t>
  </si>
  <si>
    <t>2026-05-10</t>
  </si>
  <si>
    <t>ORD-10402</t>
  </si>
  <si>
    <t>2026-01-30</t>
  </si>
  <si>
    <t>ORD-10403</t>
  </si>
  <si>
    <t>ORD-10404</t>
  </si>
  <si>
    <t>2026-05-19</t>
  </si>
  <si>
    <t>ORD-10405</t>
  </si>
  <si>
    <t>2026-08-16</t>
  </si>
  <si>
    <t>ORD-10406</t>
  </si>
  <si>
    <t>ORD-10407</t>
  </si>
  <si>
    <t>2026-02-28</t>
  </si>
  <si>
    <t>ORD-10408</t>
  </si>
  <si>
    <t>ORD-10409</t>
  </si>
  <si>
    <t>ORD-10410</t>
  </si>
  <si>
    <t>19/05/2026</t>
  </si>
  <si>
    <t>ORD-10411</t>
  </si>
  <si>
    <t>2026-03-02</t>
  </si>
  <si>
    <t>ORD-10412</t>
  </si>
  <si>
    <t>ORD-10413</t>
  </si>
  <si>
    <t>28/02/2026</t>
  </si>
  <si>
    <t>ORD-10414</t>
  </si>
  <si>
    <t>ORD-10415</t>
  </si>
  <si>
    <t>2026-08-28</t>
  </si>
  <si>
    <t>ORD-10416</t>
  </si>
  <si>
    <t>ORD-10417</t>
  </si>
  <si>
    <t>ORD-10418</t>
  </si>
  <si>
    <t>24/08/2026</t>
  </si>
  <si>
    <t>ORD-10419</t>
  </si>
  <si>
    <t>ORD-10420</t>
  </si>
  <si>
    <t>2026-01-28</t>
  </si>
  <si>
    <t>ORD-10421</t>
  </si>
  <si>
    <t>ORD-10422</t>
  </si>
  <si>
    <t>2026-08-04</t>
  </si>
  <si>
    <t>ORD-10423</t>
  </si>
  <si>
    <t>10/01/2026</t>
  </si>
  <si>
    <t>ORD-10424</t>
  </si>
  <si>
    <t>30/01/2026</t>
  </si>
  <si>
    <t>ORD-10425</t>
  </si>
  <si>
    <t>ORD-10426</t>
  </si>
  <si>
    <t xml:space="preserve"> asha   </t>
  </si>
  <si>
    <t>ORD-10427</t>
  </si>
  <si>
    <t>ORD-10428</t>
  </si>
  <si>
    <t>ORD-10429</t>
  </si>
  <si>
    <t>ORD-10430</t>
  </si>
  <si>
    <t>22/03/2026</t>
  </si>
  <si>
    <t>ORD-10431</t>
  </si>
  <si>
    <t>2026-01-31</t>
  </si>
  <si>
    <t>ORD-10432</t>
  </si>
  <si>
    <t>ORD-10433</t>
  </si>
  <si>
    <t>ORD-10434</t>
  </si>
  <si>
    <t>ORD-10435</t>
  </si>
  <si>
    <t>04/08/2026</t>
  </si>
  <si>
    <t>ORD-10436</t>
  </si>
  <si>
    <t>ORD-10437</t>
  </si>
  <si>
    <t>ORD-10438</t>
  </si>
  <si>
    <t>ORD-10439</t>
  </si>
  <si>
    <t>12/03/2026</t>
  </si>
  <si>
    <t>ORD-10440</t>
  </si>
  <si>
    <t>ORD-10441</t>
  </si>
  <si>
    <t>02/08/2026</t>
  </si>
  <si>
    <t>ORD-10442</t>
  </si>
  <si>
    <t>ORD-10443</t>
  </si>
  <si>
    <t>2026-05-04</t>
  </si>
  <si>
    <t>ORD-10444</t>
  </si>
  <si>
    <t>25/07/2026</t>
  </si>
  <si>
    <t>ORD-10445</t>
  </si>
  <si>
    <t>ORD-10446</t>
  </si>
  <si>
    <t>12/07/2026</t>
  </si>
  <si>
    <t>ORD-10447</t>
  </si>
  <si>
    <t>ORD-10448</t>
  </si>
  <si>
    <t>2026-04-19</t>
  </si>
  <si>
    <t>ORD-10449</t>
  </si>
  <si>
    <t>ORD-10450</t>
  </si>
  <si>
    <t>ORD-10451</t>
  </si>
  <si>
    <t>ORD-10452</t>
  </si>
  <si>
    <t>12/06/2026</t>
  </si>
  <si>
    <t>ORD-10453</t>
  </si>
  <si>
    <t>ORD-10454</t>
  </si>
  <si>
    <t>ORD-10455</t>
  </si>
  <si>
    <t>ORD-10456</t>
  </si>
  <si>
    <t>ORD-10457</t>
  </si>
  <si>
    <t>ORD-10458</t>
  </si>
  <si>
    <t>ORD-10459</t>
  </si>
  <si>
    <t>ORD-10460</t>
  </si>
  <si>
    <t>ORD-10461</t>
  </si>
  <si>
    <t>ORD-10462</t>
  </si>
  <si>
    <t>ORD-10463</t>
  </si>
  <si>
    <t>ORD-10464</t>
  </si>
  <si>
    <t>2026-05-29</t>
  </si>
  <si>
    <t>ORD-10465</t>
  </si>
  <si>
    <t>17/08/2026</t>
  </si>
  <si>
    <t>ORD-10466</t>
  </si>
  <si>
    <t>ORD-10467</t>
  </si>
  <si>
    <t>2026-01-15</t>
  </si>
  <si>
    <t>ORD-10468</t>
  </si>
  <si>
    <t>31/08/2026</t>
  </si>
  <si>
    <t>ORD-10469</t>
  </si>
  <si>
    <t>2026-01-23</t>
  </si>
  <si>
    <t>ORD-10470</t>
  </si>
  <si>
    <t>08/03/2026</t>
  </si>
  <si>
    <t>ORD-10471</t>
  </si>
  <si>
    <t>2026-02-10</t>
  </si>
  <si>
    <t>ORD-10472</t>
  </si>
  <si>
    <t>ORD-10473</t>
  </si>
  <si>
    <t>ORD-10474</t>
  </si>
  <si>
    <t>ORD-10475</t>
  </si>
  <si>
    <t>2026-04-10</t>
  </si>
  <si>
    <t>ORD-10476</t>
  </si>
  <si>
    <t>04/04/2026</t>
  </si>
  <si>
    <t>ORD-10477</t>
  </si>
  <si>
    <t>18/04/2026</t>
  </si>
  <si>
    <t>ORD-10478</t>
  </si>
  <si>
    <t>2026-06-18</t>
  </si>
  <si>
    <t>ORD-10479</t>
  </si>
  <si>
    <t>20/08/2026</t>
  </si>
  <si>
    <t>ORD-10480</t>
  </si>
  <si>
    <t>ORD-10481</t>
  </si>
  <si>
    <t>ORD-10482</t>
  </si>
  <si>
    <t>ORD-10483</t>
  </si>
  <si>
    <t>ORD-10484</t>
  </si>
  <si>
    <t>ORD-10485</t>
  </si>
  <si>
    <t>11/08/2026</t>
  </si>
  <si>
    <t>ORD-10486</t>
  </si>
  <si>
    <t>ORD-10487</t>
  </si>
  <si>
    <t>ORD-10488</t>
  </si>
  <si>
    <t>2026-05-23</t>
  </si>
  <si>
    <t>ORD-10489</t>
  </si>
  <si>
    <t>03/04/2026</t>
  </si>
  <si>
    <t>ORD-10490</t>
  </si>
  <si>
    <t>ORD-10491</t>
  </si>
  <si>
    <t>ORD-10492</t>
  </si>
  <si>
    <t>ORD-10493</t>
  </si>
  <si>
    <t>2026-06-03</t>
  </si>
  <si>
    <t>ORD-10494</t>
  </si>
  <si>
    <t>ORD-10495</t>
  </si>
  <si>
    <t>2026-06-15</t>
  </si>
  <si>
    <t>ORD-10496</t>
  </si>
  <si>
    <t>2026-05-18</t>
  </si>
  <si>
    <t>ORD-10497</t>
  </si>
  <si>
    <t>2026-02-09</t>
  </si>
  <si>
    <t>ORD-10498</t>
  </si>
  <si>
    <t>ORD-10499</t>
  </si>
  <si>
    <t>ORD-10500</t>
  </si>
  <si>
    <t>2026-03-23</t>
  </si>
  <si>
    <t>ORD-10501</t>
  </si>
  <si>
    <t>ORD-10502</t>
  </si>
  <si>
    <t>ORD-10503</t>
  </si>
  <si>
    <t>ORD-10504</t>
  </si>
  <si>
    <t>ORD-10505</t>
  </si>
  <si>
    <t>ORD-10506</t>
  </si>
  <si>
    <t>10/04/2026</t>
  </si>
  <si>
    <t>ORD-10507</t>
  </si>
  <si>
    <t>ORD-10508</t>
  </si>
  <si>
    <t>ORD-10509</t>
  </si>
  <si>
    <t>25/01/2026</t>
  </si>
  <si>
    <t>ORD-10510</t>
  </si>
  <si>
    <t>2026-04-17</t>
  </si>
  <si>
    <t>ORD-10511</t>
  </si>
  <si>
    <t>ORD-10512</t>
  </si>
  <si>
    <t>ORD-10513</t>
  </si>
  <si>
    <t>ORD-10514</t>
  </si>
  <si>
    <t>2026-03-04</t>
  </si>
  <si>
    <t>ORD-10515</t>
  </si>
  <si>
    <t>ORD-10516</t>
  </si>
  <si>
    <t>2026-02-18</t>
  </si>
  <si>
    <t>ORD-10517</t>
  </si>
  <si>
    <t>ORD-10518</t>
  </si>
  <si>
    <t>ORD-10519</t>
  </si>
  <si>
    <t>11/04/2026</t>
  </si>
  <si>
    <t>ORD-10520</t>
  </si>
  <si>
    <t>ORD-10521</t>
  </si>
  <si>
    <t>26/06/2026</t>
  </si>
  <si>
    <t>ORD-10522</t>
  </si>
  <si>
    <t>2026-08-17</t>
  </si>
  <si>
    <t>ORD-10523</t>
  </si>
  <si>
    <t>ORD-10524</t>
  </si>
  <si>
    <t>ORD-10525</t>
  </si>
  <si>
    <t>2026-03-14</t>
  </si>
  <si>
    <t>ORD-10526</t>
  </si>
  <si>
    <t>ORD-10527</t>
  </si>
  <si>
    <t>ORD-10528</t>
  </si>
  <si>
    <t>ORD-10529</t>
  </si>
  <si>
    <t>ORD-10530</t>
  </si>
  <si>
    <t>28/01/2026</t>
  </si>
  <si>
    <t>ORD-10531</t>
  </si>
  <si>
    <t>ORD-10532</t>
  </si>
  <si>
    <t>ORD-10533</t>
  </si>
  <si>
    <t>ORD-10534</t>
  </si>
  <si>
    <t>ORD-10535</t>
  </si>
  <si>
    <t>30/08/2026</t>
  </si>
  <si>
    <t>ORD-10536</t>
  </si>
  <si>
    <t>ORD-10537</t>
  </si>
  <si>
    <t>ORD-10538</t>
  </si>
  <si>
    <t>ORD-10539</t>
  </si>
  <si>
    <t>2026-05-25</t>
  </si>
  <si>
    <t>ORD-10540</t>
  </si>
  <si>
    <t>2026-06-24</t>
  </si>
  <si>
    <t>ORD-10541</t>
  </si>
  <si>
    <t>ORD-10542</t>
  </si>
  <si>
    <t>ORD-10543</t>
  </si>
  <si>
    <t>ORD-10544</t>
  </si>
  <si>
    <t>ORD-10545</t>
  </si>
  <si>
    <t>ORD-10546</t>
  </si>
  <si>
    <t>2026-06-23</t>
  </si>
  <si>
    <t>ORD-10547</t>
  </si>
  <si>
    <t>04/03/2026</t>
  </si>
  <si>
    <t>ORD-10548</t>
  </si>
  <si>
    <t>ORD-10549</t>
  </si>
  <si>
    <t>ORD-10550</t>
  </si>
  <si>
    <t>ORD-10551</t>
  </si>
  <si>
    <t>2026-01-06</t>
  </si>
  <si>
    <t>ORD-10552</t>
  </si>
  <si>
    <t>17/01/2026</t>
  </si>
  <si>
    <t>ORD-10553</t>
  </si>
  <si>
    <t>2026-01-13</t>
  </si>
  <si>
    <t>ORD-10554</t>
  </si>
  <si>
    <t>ORD-10555</t>
  </si>
  <si>
    <t>ORD-10556</t>
  </si>
  <si>
    <t>ORD-10557</t>
  </si>
  <si>
    <t>ORD-10558</t>
  </si>
  <si>
    <t>ORD-10559</t>
  </si>
  <si>
    <t>ORD-10560</t>
  </si>
  <si>
    <t>2026-07-31</t>
  </si>
  <si>
    <t>ORD-10561</t>
  </si>
  <si>
    <t>ORD-10562</t>
  </si>
  <si>
    <t>ORD-10563</t>
  </si>
  <si>
    <t>ORD-10564</t>
  </si>
  <si>
    <t>15/02/2026</t>
  </si>
  <si>
    <t>ORD-10565</t>
  </si>
  <si>
    <t>2026-06-05</t>
  </si>
  <si>
    <t>ORD-10566</t>
  </si>
  <si>
    <t>ORD-10567</t>
  </si>
  <si>
    <t>2026-01-09</t>
  </si>
  <si>
    <t>ORD-10568</t>
  </si>
  <si>
    <t>04/06/2026</t>
  </si>
  <si>
    <t>ORD-10569</t>
  </si>
  <si>
    <t>2026-07-24</t>
  </si>
  <si>
    <t xml:space="preserve"> ORD-10570 </t>
  </si>
  <si>
    <t>29/05/2026</t>
  </si>
  <si>
    <t>ORD-10571</t>
  </si>
  <si>
    <t>ORD-10572</t>
  </si>
  <si>
    <t>06/07/2026</t>
  </si>
  <si>
    <t>ORD-10573</t>
  </si>
  <si>
    <t>ORD-10574</t>
  </si>
  <si>
    <t>2026-07-11</t>
  </si>
  <si>
    <t>ORD-10575</t>
  </si>
  <si>
    <t>04/02/2026</t>
  </si>
  <si>
    <t>ORD-10576</t>
  </si>
  <si>
    <t>ORD-10577</t>
  </si>
  <si>
    <t>ORD-10578</t>
  </si>
  <si>
    <t>2026-03-05</t>
  </si>
  <si>
    <t>ORD-10579</t>
  </si>
  <si>
    <t xml:space="preserve"> ORD-10580 </t>
  </si>
  <si>
    <t>ORD-10581</t>
  </si>
  <si>
    <t xml:space="preserve"> kiran   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</si>
  <si>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</si>
  <si>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</si>
  <si>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</si>
  <si>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</si>
  <si>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</si>
  <si>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</si>
  <si>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</si>
  <si>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</si>
  <si>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</si>
  <si>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12/04/2026</t>
  </si>
  <si>
    <t>ORD-10591</t>
  </si>
  <si>
    <t>ORD-10592</t>
  </si>
  <si>
    <t>ORD-10593</t>
  </si>
  <si>
    <t>2026-02-08</t>
  </si>
  <si>
    <t>ORD-10594</t>
  </si>
  <si>
    <t>2026-05-11</t>
  </si>
  <si>
    <t>ORD-10595</t>
  </si>
  <si>
    <t>25/08/2026</t>
  </si>
  <si>
    <t>ORD-10596</t>
  </si>
  <si>
    <t>ORD-10597</t>
  </si>
  <si>
    <t>ORD-10598</t>
  </si>
  <si>
    <t>ORD-10599</t>
  </si>
  <si>
    <t>ORD-10600</t>
  </si>
  <si>
    <t>ORD-10601</t>
  </si>
  <si>
    <t>ORD-10602</t>
  </si>
  <si>
    <t>2026-04-15</t>
  </si>
  <si>
    <t>ORD-10603</t>
  </si>
  <si>
    <t>20/04/2026</t>
  </si>
  <si>
    <t>ORD-10604</t>
  </si>
  <si>
    <t>2026-03-07</t>
  </si>
  <si>
    <t>ORD-10605</t>
  </si>
  <si>
    <t>ORD-10606</t>
  </si>
  <si>
    <t>ORD-10607</t>
  </si>
  <si>
    <t>2026-08-08</t>
  </si>
  <si>
    <t>ORD-10608</t>
  </si>
  <si>
    <t>ORD-10609</t>
  </si>
  <si>
    <t>ORD-10610</t>
  </si>
  <si>
    <t>23/07/2026</t>
  </si>
  <si>
    <t>ORD-10611</t>
  </si>
  <si>
    <t>ORD-10612</t>
  </si>
  <si>
    <t>ORD-10613</t>
  </si>
  <si>
    <t>ORD-10614</t>
  </si>
  <si>
    <t>ORD-10615</t>
  </si>
  <si>
    <t>ORD-10616</t>
  </si>
  <si>
    <t>13/05/2026</t>
  </si>
  <si>
    <t>ORD-10617</t>
  </si>
  <si>
    <t>ORD-10618</t>
  </si>
  <si>
    <t>ORD-10619</t>
  </si>
  <si>
    <t>ORD-10620</t>
  </si>
  <si>
    <t>20/02/2026</t>
  </si>
  <si>
    <t>ORD-10621</t>
  </si>
  <si>
    <t>ORD-10622</t>
  </si>
  <si>
    <t>ORD-10623</t>
  </si>
  <si>
    <t>ORD-10624</t>
  </si>
  <si>
    <t>2026-07-01</t>
  </si>
  <si>
    <t>ORD-10625</t>
  </si>
  <si>
    <t>ORD-10626</t>
  </si>
  <si>
    <t>ORD-10627</t>
  </si>
  <si>
    <t>16/08/2026</t>
  </si>
  <si>
    <t>ORD-10628</t>
  </si>
  <si>
    <t>2026-06-07</t>
  </si>
  <si>
    <t>ORD-10629</t>
  </si>
  <si>
    <t>ORD-10630</t>
  </si>
  <si>
    <t>2026-07-04</t>
  </si>
  <si>
    <t>ORD-10631</t>
  </si>
  <si>
    <t>ORD-10632</t>
  </si>
  <si>
    <t>2026-03-10</t>
  </si>
  <si>
    <t>ORD-10633</t>
  </si>
  <si>
    <t>ORD-10634</t>
  </si>
  <si>
    <t>ORD-10635</t>
  </si>
  <si>
    <t>ORD-10636</t>
  </si>
  <si>
    <t>ORD-10637</t>
  </si>
  <si>
    <t>22/07/2026</t>
  </si>
  <si>
    <t>ORD-10638</t>
  </si>
  <si>
    <t>2026-01-07</t>
  </si>
  <si>
    <t>ORD-10639</t>
  </si>
  <si>
    <t>ORD-10640</t>
  </si>
  <si>
    <t>2026-03-28</t>
  </si>
  <si>
    <t>ORD-10641</t>
  </si>
  <si>
    <t>ORD-10642</t>
  </si>
  <si>
    <t>20/01/2026</t>
  </si>
  <si>
    <t>ORD-10643</t>
  </si>
  <si>
    <t>ORD-10644</t>
  </si>
  <si>
    <t>ORD-10645</t>
  </si>
  <si>
    <t>ORD-10646</t>
  </si>
  <si>
    <t>ORD-10647</t>
  </si>
  <si>
    <t>ORD-10648</t>
  </si>
  <si>
    <t>22/08/2026</t>
  </si>
  <si>
    <t>ORD-10649</t>
  </si>
  <si>
    <t>ORD-10650</t>
  </si>
  <si>
    <t>Gross_Sales</t>
  </si>
  <si>
    <t>Discount_Amount</t>
  </si>
  <si>
    <t>Net_Sales</t>
  </si>
  <si>
    <t>Estimated_Cost</t>
  </si>
  <si>
    <t>Profit</t>
  </si>
  <si>
    <t>Profit_Margin</t>
  </si>
  <si>
    <t>Order_Month</t>
  </si>
  <si>
    <t>Data_Quality_Flag</t>
  </si>
  <si>
    <t>SALES PERFORMANCE DASHBOARD</t>
  </si>
  <si>
    <t>Total Orders</t>
  </si>
  <si>
    <t>Net Sales</t>
  </si>
  <si>
    <t>Profit Margin</t>
  </si>
  <si>
    <t>Avg Order Value</t>
  </si>
  <si>
    <t>Month</t>
  </si>
  <si>
    <t>Order Status</t>
  </si>
  <si>
    <t>Orders</t>
  </si>
  <si>
    <t>Salesperson Performance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</si>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</sst>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#,##0"/>
    <numFmt numFmtId="181" formatCode="0.0%"/>
    <numFmt numFmtId="182" formatCode="mmm/yy"/>
    <numFmt numFmtId="183" formatCode="dd/mmm/yyyy"/>
  </numFmts>
  <fonts count="24">
    <font>
      <sz val="11"/>
      <color theme="1"/>
      <name val="Calibri"/>
      <charset val="134"/>
      <scheme val="minor"/>
    </font>
    <font>
      <b/>
      <sz val="22"/>
      <color rgb="FFFFFFFF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8"/>
      <color rgb="FF17365D"/>
      <name val="Calibri"/>
      <charset val="134"/>
      <scheme val="minor"/>
    </font>
    <font>
      <b/>
      <sz val="14"/>
      <color rgb="FF17365D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180" fontId="3" fillId="0" borderId="0" xfId="0" applyNumberFormat="1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0" fontId="2" fillId="4" borderId="0" xfId="0" applyFont="1" applyFill="1"/>
    <xf numFmtId="182" fontId="0" fillId="0" borderId="0" xfId="0" applyNumberFormat="1"/>
    <xf numFmtId="0" fontId="4" fillId="0" borderId="0" xfId="0" applyFont="1"/>
    <xf numFmtId="180" fontId="0" fillId="0" borderId="0" xfId="0" applyNumberFormat="1"/>
    <xf numFmtId="181" fontId="0" fillId="0" borderId="0" xfId="0" applyNumberFormat="1"/>
    <xf numFmtId="0" fontId="2" fillId="5" borderId="0" xfId="0" applyFont="1" applyFill="1" applyAlignment="1">
      <alignment horizontal="center" wrapText="1"/>
    </xf>
    <xf numFmtId="183" fontId="0" fillId="0" borderId="0" xfId="0" applyNumberFormat="1"/>
    <xf numFmtId="4" fontId="0" fillId="0" borderId="0" xfId="0" applyNumberFormat="1"/>
    <xf numFmtId="9" fontId="0" fillId="0" borderId="0" xfId="0" applyNumberFormat="1"/>
    <xf numFmtId="0" fontId="2" fillId="5" borderId="0" xfId="0" applyFont="1" applyFill="1" applyAlignment="1">
      <alignment horizontal="center"/>
    </xf>
    <xf numFmtId="0" fontId="3" fillId="0" borderId="0" xfId="0" applyFont="1"/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Monthly Net Sales Trend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Excel_Dashboard!$B$9</c:f>
              <c:strCache>
                <c:ptCount val="1"/>
                <c:pt idx="0">
                  <c:v>Net Sales</c:v>
                </c:pt>
              </c:strCache>
            </c:strRef>
          </c:tx>
          <c:spPr>
            <a:ln w="4762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numRef>
              <c:f>Excel_Dashboard!$A$10:$A$18</c:f>
              <c:numCache>
                <c:formatCode>mmm/yy</c:formatCode>
                <c:ptCount val="9"/>
                <c:pt idx="0" c:formatCode="mmm/yy">
                  <c:v>46023</c:v>
                </c:pt>
                <c:pt idx="1" c:formatCode="mmm/yy">
                  <c:v>46054</c:v>
                </c:pt>
                <c:pt idx="2" c:formatCode="mmm/yy">
                  <c:v>46082</c:v>
                </c:pt>
                <c:pt idx="3" c:formatCode="mmm/yy">
                  <c:v>46113</c:v>
                </c:pt>
                <c:pt idx="4" c:formatCode="mmm/yy">
                  <c:v>46143</c:v>
                </c:pt>
                <c:pt idx="5" c:formatCode="mmm/yy">
                  <c:v>46174</c:v>
                </c:pt>
                <c:pt idx="6" c:formatCode="mmm/yy">
                  <c:v>46204</c:v>
                </c:pt>
                <c:pt idx="7" c:formatCode="mmm/yy">
                  <c:v>46235</c:v>
                </c:pt>
                <c:pt idx="8" c:formatCode="mmm/yy">
                  <c:v>46266</c:v>
                </c:pt>
              </c:numCache>
            </c:numRef>
          </c:cat>
          <c:val>
            <c:numRef>
              <c:f>Excel_Dashboard!$B$10:$B$18</c:f>
              <c:numCache>
                <c:formatCode>General</c:formatCode>
                <c:ptCount val="9"/>
                <c:pt idx="0">
                  <c:v>4885314.42</c:v>
                </c:pt>
                <c:pt idx="1">
                  <c:v>5712651.88</c:v>
                </c:pt>
                <c:pt idx="2">
                  <c:v>3723352.93</c:v>
                </c:pt>
                <c:pt idx="3">
                  <c:v>5144270.23</c:v>
                </c:pt>
                <c:pt idx="4">
                  <c:v>5441464.65</c:v>
                </c:pt>
                <c:pt idx="5">
                  <c:v>5502775.47</c:v>
                </c:pt>
                <c:pt idx="6">
                  <c:v>9441698.2</c:v>
                </c:pt>
                <c:pt idx="7">
                  <c:v>4511273.63</c:v>
                </c:pt>
                <c:pt idx="8">
                  <c:v>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dateAx>
        <c:axId val="10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Month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Net Sales (₹)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6610a3-498d-43a4-be1c-b39ca5f6cb1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Sales by Category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Excel_Dashboard!$F$9</c:f>
              <c:strCache>
                <c:ptCount val="1"/>
                <c:pt idx="0">
                  <c:v>Net Sales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Excel_Dashboard!$E$10:$E$14</c:f>
              <c:strCache>
                <c:ptCount val="5"/>
                <c:pt idx="0">
                  <c:v>Laptop</c:v>
                </c:pt>
                <c:pt idx="1">
                  <c:v>Monitor</c:v>
                </c:pt>
                <c:pt idx="2">
                  <c:v>Keyboard</c:v>
                </c:pt>
                <c:pt idx="3">
                  <c:v>Mouse</c:v>
                </c:pt>
                <c:pt idx="4">
                  <c:v>Headset</c:v>
                </c:pt>
              </c:strCache>
            </c:strRef>
          </c:cat>
          <c:val>
            <c:numRef>
              <c:f>Excel_Dashboard!$F$10:$F$14</c:f>
              <c:numCache>
                <c:formatCode>General</c:formatCode>
                <c:ptCount val="5"/>
                <c:pt idx="0">
                  <c:v>29762238.08</c:v>
                </c:pt>
                <c:pt idx="1">
                  <c:v>10991984.12</c:v>
                </c:pt>
                <c:pt idx="2">
                  <c:v>1585946.59</c:v>
                </c:pt>
                <c:pt idx="3">
                  <c:v>1278533.12</c:v>
                </c:pt>
                <c:pt idx="4">
                  <c:v>2006730.79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3d1db43-c387-4291-9311-52cc015a7f16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20</xdr:row>
      <xdr:rowOff>0</xdr:rowOff>
    </xdr:from>
    <xdr:ext cx="4320000" cy="2420940"/>
    <xdr:graphicFrame>
      <xdr:nvGraphicFramePr>
        <xdr:cNvPr id="2" name="Chart 1"/>
        <xdr:cNvGraphicFramePr/>
      </xdr:nvGraphicFramePr>
      <xdr:xfrm>
        <a:off x="0" y="3657600"/>
        <a:ext cx="431990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20</xdr:row>
      <xdr:rowOff>0</xdr:rowOff>
    </xdr:from>
    <xdr:ext cx="4320000" cy="2420940"/>
    <xdr:graphicFrame>
      <xdr:nvGraphicFramePr>
        <xdr:cNvPr id="3" name="Chart 2"/>
        <xdr:cNvGraphicFramePr/>
      </xdr:nvGraphicFramePr>
      <xdr:xfrm>
        <a:off x="5760720" y="3657600"/>
        <a:ext cx="4319905" cy="2420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2" name="CleanSales" displayName="CleanSales" ref="A1:T651">
  <autoFilter xmlns:etc="http://www.wps.cn/officeDocument/2017/etCustomData" ref="A1:T651" etc:filterBottomFollowUsedRange="0"/>
  <tableColumns count="20">
    <tableColumn id="1" name="Order_ID"/>
    <tableColumn id="2" name="Order_Date"/>
    <tableColumn id="3" name="Salesperson"/>
    <tableColumn id="4" name="City"/>
    <tableColumn id="5" name="Sales_Channel"/>
    <tableColumn id="6" name="Customer_Segment"/>
    <tableColumn id="7" name="Category"/>
    <tableColumn id="8" name="Product"/>
    <tableColumn id="9" name="Quantity"/>
    <tableColumn id="10" name="Unit_Price"/>
    <tableColumn id="11" name="Discount"/>
    <tableColumn id="12" name="Order_Status"/>
    <tableColumn id="13" name="Gross_Sales"/>
    <tableColumn id="14" name="Discount_Amount"/>
    <tableColumn id="15" name="Net_Sales"/>
    <tableColumn id="16" name="Estimated_Cost"/>
    <tableColumn id="17" name="Profit"/>
    <tableColumn id="18" name="Profit_Margin"/>
    <tableColumn id="19" name="Order_Month"/>
    <tableColumn id="20" name="Data_Quality_Flag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tabSelected="1" workbookViewId="0">
      <selection activeCell="A6" sqref="A6"/>
    </sheetView>
  </sheetViews>
  <sheetFormatPr defaultColWidth="9" defaultRowHeight="14.4"/>
  <cols>
    <col min="1" max="1" width="137.777777777778" customWidth="1"/>
  </cols>
  <sheetData>
    <row r="1" ht="23.4" spans="1:1">
      <c r="A1" s="16" t="s">
        <v>0</v>
      </c>
    </row>
    <row r="3" ht="25" customHeight="1" spans="1:1">
      <c r="A3" s="17" t="s">
        <v>1</v>
      </c>
    </row>
    <row r="4" ht="19" customHeight="1" spans="1:1">
      <c r="A4" s="17" t="s">
        <v>2</v>
      </c>
    </row>
    <row r="5" ht="30" customHeight="1" spans="1:1">
      <c r="A5" s="17" t="s">
        <v>3</v>
      </c>
    </row>
    <row r="6" ht="24" customHeight="1" spans="1:1">
      <c r="A6" s="17" t="s">
        <v>4</v>
      </c>
    </row>
    <row r="7" ht="21" customHeight="1" spans="1:1">
      <c r="A7" s="17" t="s">
        <v>5</v>
      </c>
    </row>
    <row r="8" ht="21" customHeight="1" spans="1:1">
      <c r="A8" s="17" t="s">
        <v>6</v>
      </c>
    </row>
    <row r="9" ht="22" customHeight="1" spans="1:1">
      <c r="A9" t="s">
        <v>7</v>
      </c>
    </row>
    <row r="10" ht="19" customHeight="1" spans="1:1">
      <c r="A10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4" customWidth="1"/>
    <col min="2" max="2" width="15" customWidth="1"/>
    <col min="3" max="3" width="16" customWidth="1"/>
    <col min="4" max="4" width="15" customWidth="1"/>
    <col min="5" max="7" width="16" customWidth="1"/>
    <col min="8" max="8" width="22" customWidth="1"/>
    <col min="9" max="12" width="16" customWidth="1"/>
  </cols>
  <sheetData>
    <row r="1" spans="1:12">
      <c r="A1" s="15" t="s">
        <v>9</v>
      </c>
      <c r="B1" s="15" t="s">
        <v>10</v>
      </c>
      <c r="C1" s="15" t="s">
        <v>11</v>
      </c>
      <c r="D1" s="15" t="s">
        <v>12</v>
      </c>
      <c r="E1" s="15" t="s">
        <v>13</v>
      </c>
      <c r="F1" s="15" t="s">
        <v>14</v>
      </c>
      <c r="G1" s="15" t="s">
        <v>15</v>
      </c>
      <c r="H1" s="15" t="s">
        <v>16</v>
      </c>
      <c r="I1" s="15" t="s">
        <v>17</v>
      </c>
      <c r="J1" s="15" t="s">
        <v>18</v>
      </c>
      <c r="K1" s="15" t="s">
        <v>19</v>
      </c>
      <c r="L1" s="15" t="s">
        <v>20</v>
      </c>
    </row>
    <row r="2" spans="1:1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-1</v>
      </c>
      <c r="J2">
        <v>61049</v>
      </c>
      <c r="K2">
        <v>0.1</v>
      </c>
      <c r="L2" t="s">
        <v>29</v>
      </c>
    </row>
    <row r="3" spans="1:12">
      <c r="A3" t="s">
        <v>30</v>
      </c>
      <c r="B3" t="s">
        <v>31</v>
      </c>
      <c r="C3" t="s">
        <v>23</v>
      </c>
      <c r="D3" t="s">
        <v>32</v>
      </c>
      <c r="E3" t="s">
        <v>33</v>
      </c>
      <c r="F3" t="s">
        <v>26</v>
      </c>
      <c r="G3" t="s">
        <v>34</v>
      </c>
      <c r="H3" t="s">
        <v>35</v>
      </c>
      <c r="I3">
        <v>5</v>
      </c>
      <c r="J3">
        <v>4140</v>
      </c>
      <c r="K3">
        <v>0</v>
      </c>
      <c r="L3" t="s">
        <v>36</v>
      </c>
    </row>
    <row r="4" spans="1:12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26</v>
      </c>
      <c r="G4" t="s">
        <v>42</v>
      </c>
      <c r="H4" t="s">
        <v>43</v>
      </c>
      <c r="I4">
        <v>5</v>
      </c>
      <c r="J4">
        <v>2155</v>
      </c>
      <c r="K4">
        <v>0.15</v>
      </c>
      <c r="L4" t="s">
        <v>36</v>
      </c>
    </row>
    <row r="5" spans="1:12">
      <c r="A5" t="s">
        <v>44</v>
      </c>
      <c r="B5" t="s">
        <v>45</v>
      </c>
      <c r="C5" t="s">
        <v>46</v>
      </c>
      <c r="D5" t="s">
        <v>47</v>
      </c>
      <c r="E5" t="s">
        <v>33</v>
      </c>
      <c r="F5" t="s">
        <v>48</v>
      </c>
      <c r="G5" t="s">
        <v>49</v>
      </c>
      <c r="H5" t="s">
        <v>50</v>
      </c>
      <c r="I5">
        <v>3</v>
      </c>
      <c r="J5">
        <v>5258</v>
      </c>
      <c r="K5">
        <v>0.05</v>
      </c>
      <c r="L5" t="s">
        <v>51</v>
      </c>
    </row>
    <row r="6" spans="1:12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26</v>
      </c>
      <c r="G6" t="s">
        <v>42</v>
      </c>
      <c r="H6" t="s">
        <v>43</v>
      </c>
      <c r="I6">
        <v>2</v>
      </c>
      <c r="J6">
        <v>3486</v>
      </c>
      <c r="K6">
        <v>0.15</v>
      </c>
      <c r="L6" t="s">
        <v>57</v>
      </c>
    </row>
    <row r="7" spans="1:12">
      <c r="A7" t="s">
        <v>58</v>
      </c>
      <c r="B7" t="s">
        <v>59</v>
      </c>
      <c r="C7" t="s">
        <v>46</v>
      </c>
      <c r="D7" t="s">
        <v>60</v>
      </c>
      <c r="E7" t="s">
        <v>33</v>
      </c>
      <c r="F7" t="s">
        <v>48</v>
      </c>
      <c r="G7" t="s">
        <v>61</v>
      </c>
      <c r="H7" t="s">
        <v>62</v>
      </c>
      <c r="I7">
        <v>8</v>
      </c>
      <c r="J7">
        <v>26378</v>
      </c>
      <c r="K7">
        <v>0</v>
      </c>
      <c r="L7" t="s">
        <v>51</v>
      </c>
    </row>
    <row r="8" spans="1:12">
      <c r="A8" t="s">
        <v>63</v>
      </c>
      <c r="B8" t="s">
        <v>64</v>
      </c>
      <c r="C8" t="s">
        <v>65</v>
      </c>
      <c r="D8" t="s">
        <v>66</v>
      </c>
      <c r="E8" t="s">
        <v>33</v>
      </c>
      <c r="F8" t="s">
        <v>48</v>
      </c>
      <c r="G8" t="s">
        <v>42</v>
      </c>
      <c r="H8" t="s">
        <v>67</v>
      </c>
      <c r="I8">
        <v>8</v>
      </c>
      <c r="J8">
        <v>2494</v>
      </c>
      <c r="K8">
        <v>0</v>
      </c>
      <c r="L8" t="s">
        <v>51</v>
      </c>
    </row>
    <row r="9" spans="1:12">
      <c r="A9" t="s">
        <v>68</v>
      </c>
      <c r="B9" t="s">
        <v>69</v>
      </c>
      <c r="C9" t="s">
        <v>70</v>
      </c>
      <c r="D9" t="s">
        <v>71</v>
      </c>
      <c r="E9" t="s">
        <v>33</v>
      </c>
      <c r="F9" t="s">
        <v>26</v>
      </c>
      <c r="G9" t="s">
        <v>49</v>
      </c>
      <c r="H9" t="s">
        <v>50</v>
      </c>
      <c r="I9">
        <v>2</v>
      </c>
      <c r="J9">
        <v>2272</v>
      </c>
      <c r="K9">
        <v>0.15</v>
      </c>
      <c r="L9" t="s">
        <v>29</v>
      </c>
    </row>
    <row r="10" spans="1:12">
      <c r="A10" t="s">
        <v>72</v>
      </c>
      <c r="B10" t="s">
        <v>73</v>
      </c>
      <c r="C10" t="s">
        <v>74</v>
      </c>
      <c r="D10" t="s">
        <v>55</v>
      </c>
      <c r="E10" t="s">
        <v>25</v>
      </c>
      <c r="F10" t="s">
        <v>48</v>
      </c>
      <c r="G10" t="s">
        <v>61</v>
      </c>
      <c r="H10" t="s">
        <v>75</v>
      </c>
      <c r="I10">
        <v>1</v>
      </c>
      <c r="J10">
        <v>12208</v>
      </c>
      <c r="K10">
        <v>0</v>
      </c>
      <c r="L10" t="s">
        <v>51</v>
      </c>
    </row>
    <row r="11" spans="1:12">
      <c r="A11" t="s">
        <v>76</v>
      </c>
      <c r="B11" t="s">
        <v>77</v>
      </c>
      <c r="C11" t="s">
        <v>78</v>
      </c>
      <c r="D11" t="s">
        <v>79</v>
      </c>
      <c r="E11" t="s">
        <v>25</v>
      </c>
      <c r="F11" t="s">
        <v>48</v>
      </c>
      <c r="G11" t="s">
        <v>61</v>
      </c>
      <c r="H11" t="s">
        <v>75</v>
      </c>
      <c r="I11">
        <v>1</v>
      </c>
      <c r="J11">
        <v>10916</v>
      </c>
      <c r="K11">
        <v>0.1</v>
      </c>
      <c r="L11" t="s">
        <v>29</v>
      </c>
    </row>
    <row r="12" spans="1:12">
      <c r="A12" t="s">
        <v>80</v>
      </c>
      <c r="B12" t="s">
        <v>81</v>
      </c>
      <c r="C12" t="s">
        <v>54</v>
      </c>
      <c r="D12" t="s">
        <v>82</v>
      </c>
      <c r="E12" t="s">
        <v>25</v>
      </c>
      <c r="F12" t="s">
        <v>26</v>
      </c>
      <c r="G12" t="s">
        <v>49</v>
      </c>
      <c r="H12" t="s">
        <v>83</v>
      </c>
      <c r="I12">
        <v>3</v>
      </c>
      <c r="J12">
        <v>4742</v>
      </c>
      <c r="K12">
        <v>0.15</v>
      </c>
      <c r="L12" t="s">
        <v>36</v>
      </c>
    </row>
    <row r="13" spans="1:12">
      <c r="A13" t="s">
        <v>84</v>
      </c>
      <c r="B13" t="s">
        <v>85</v>
      </c>
      <c r="C13" t="s">
        <v>39</v>
      </c>
      <c r="D13" t="s">
        <v>86</v>
      </c>
      <c r="E13" t="s">
        <v>33</v>
      </c>
      <c r="F13" t="s">
        <v>26</v>
      </c>
      <c r="G13" t="s">
        <v>49</v>
      </c>
      <c r="H13" t="s">
        <v>50</v>
      </c>
      <c r="I13">
        <v>3</v>
      </c>
      <c r="J13">
        <v>2348</v>
      </c>
      <c r="K13">
        <v>0.05</v>
      </c>
      <c r="L13" t="s">
        <v>51</v>
      </c>
    </row>
    <row r="14" spans="1:12">
      <c r="A14" t="s">
        <v>87</v>
      </c>
      <c r="B14" t="s">
        <v>88</v>
      </c>
      <c r="C14" t="s">
        <v>89</v>
      </c>
      <c r="D14" t="s">
        <v>82</v>
      </c>
      <c r="E14" t="s">
        <v>25</v>
      </c>
      <c r="F14" t="s">
        <v>48</v>
      </c>
      <c r="G14" t="s">
        <v>61</v>
      </c>
      <c r="H14" t="s">
        <v>90</v>
      </c>
      <c r="I14">
        <v>2</v>
      </c>
      <c r="J14">
        <v>23478</v>
      </c>
      <c r="K14">
        <v>0</v>
      </c>
      <c r="L14" t="s">
        <v>36</v>
      </c>
    </row>
    <row r="15" spans="1:12">
      <c r="A15" t="s">
        <v>91</v>
      </c>
      <c r="B15" t="s">
        <v>92</v>
      </c>
      <c r="C15" t="s">
        <v>46</v>
      </c>
      <c r="D15" t="s">
        <v>93</v>
      </c>
      <c r="E15" t="s">
        <v>41</v>
      </c>
      <c r="F15" t="s">
        <v>94</v>
      </c>
      <c r="G15" t="s">
        <v>61</v>
      </c>
      <c r="H15" t="s">
        <v>75</v>
      </c>
      <c r="I15">
        <v>7</v>
      </c>
      <c r="J15">
        <v>22510</v>
      </c>
      <c r="K15">
        <v>0.15</v>
      </c>
      <c r="L15" t="s">
        <v>36</v>
      </c>
    </row>
    <row r="16" spans="1:12">
      <c r="A16" t="s">
        <v>95</v>
      </c>
      <c r="B16" t="s">
        <v>96</v>
      </c>
      <c r="C16" t="s">
        <v>70</v>
      </c>
      <c r="D16" t="s">
        <v>97</v>
      </c>
      <c r="E16" t="s">
        <v>41</v>
      </c>
      <c r="F16" t="s">
        <v>26</v>
      </c>
      <c r="G16" t="s">
        <v>34</v>
      </c>
      <c r="H16" t="s">
        <v>98</v>
      </c>
      <c r="I16">
        <v>0</v>
      </c>
      <c r="J16">
        <v>1426</v>
      </c>
      <c r="K16">
        <v>0.1</v>
      </c>
      <c r="L16" t="s">
        <v>51</v>
      </c>
    </row>
    <row r="17" spans="1:12">
      <c r="A17" t="s">
        <v>99</v>
      </c>
      <c r="B17" t="s">
        <v>100</v>
      </c>
      <c r="C17" t="s">
        <v>54</v>
      </c>
      <c r="D17" t="s">
        <v>97</v>
      </c>
      <c r="E17" t="s">
        <v>25</v>
      </c>
      <c r="F17" t="s">
        <v>26</v>
      </c>
      <c r="G17" t="s">
        <v>61</v>
      </c>
      <c r="H17" t="s">
        <v>62</v>
      </c>
      <c r="I17">
        <v>-2</v>
      </c>
      <c r="J17">
        <v>19819</v>
      </c>
      <c r="K17">
        <v>0.1</v>
      </c>
      <c r="L17" t="s">
        <v>51</v>
      </c>
    </row>
    <row r="18" spans="1:12">
      <c r="A18" t="s">
        <v>101</v>
      </c>
      <c r="B18" t="s">
        <v>102</v>
      </c>
      <c r="C18" t="s">
        <v>54</v>
      </c>
      <c r="D18" t="s">
        <v>40</v>
      </c>
      <c r="E18" t="s">
        <v>25</v>
      </c>
      <c r="F18" t="s">
        <v>48</v>
      </c>
      <c r="G18" t="s">
        <v>42</v>
      </c>
      <c r="H18" t="s">
        <v>43</v>
      </c>
      <c r="I18">
        <v>2</v>
      </c>
      <c r="J18">
        <v>1395</v>
      </c>
      <c r="K18">
        <v>0.05</v>
      </c>
      <c r="L18" t="s">
        <v>57</v>
      </c>
    </row>
    <row r="19" spans="1:12">
      <c r="A19" t="s">
        <v>103</v>
      </c>
      <c r="B19" t="s">
        <v>104</v>
      </c>
      <c r="C19" t="s">
        <v>89</v>
      </c>
      <c r="D19" t="s">
        <v>105</v>
      </c>
      <c r="E19" t="s">
        <v>25</v>
      </c>
      <c r="F19" t="s">
        <v>94</v>
      </c>
      <c r="G19" t="s">
        <v>42</v>
      </c>
      <c r="H19" t="s">
        <v>43</v>
      </c>
      <c r="I19">
        <v>4</v>
      </c>
      <c r="J19">
        <v>1136</v>
      </c>
      <c r="K19">
        <v>0.02</v>
      </c>
      <c r="L19" t="s">
        <v>36</v>
      </c>
    </row>
    <row r="20" spans="1:12">
      <c r="A20" t="s">
        <v>106</v>
      </c>
      <c r="B20" t="s">
        <v>107</v>
      </c>
      <c r="C20" t="s">
        <v>23</v>
      </c>
      <c r="D20" t="s">
        <v>40</v>
      </c>
      <c r="E20" t="s">
        <v>41</v>
      </c>
      <c r="F20" t="s">
        <v>26</v>
      </c>
      <c r="G20" t="s">
        <v>61</v>
      </c>
      <c r="H20" t="s">
        <v>90</v>
      </c>
      <c r="I20">
        <v>8</v>
      </c>
      <c r="J20">
        <v>17493</v>
      </c>
      <c r="K20">
        <v>0.15</v>
      </c>
      <c r="L20" t="s">
        <v>51</v>
      </c>
    </row>
    <row r="21" spans="1:12">
      <c r="A21" t="s">
        <v>108</v>
      </c>
      <c r="B21" t="s">
        <v>109</v>
      </c>
      <c r="C21" t="s">
        <v>110</v>
      </c>
      <c r="D21" t="s">
        <v>111</v>
      </c>
      <c r="E21" t="s">
        <v>56</v>
      </c>
      <c r="F21" t="s">
        <v>94</v>
      </c>
      <c r="G21" t="s">
        <v>42</v>
      </c>
      <c r="H21" t="s">
        <v>43</v>
      </c>
      <c r="I21">
        <v>5</v>
      </c>
      <c r="J21">
        <v>724</v>
      </c>
      <c r="K21">
        <v>0.08</v>
      </c>
      <c r="L21" t="s">
        <v>29</v>
      </c>
    </row>
    <row r="22" spans="1:12">
      <c r="A22" t="s">
        <v>112</v>
      </c>
      <c r="B22" t="s">
        <v>113</v>
      </c>
      <c r="C22" t="s">
        <v>54</v>
      </c>
      <c r="D22" t="s">
        <v>114</v>
      </c>
      <c r="E22" t="s">
        <v>41</v>
      </c>
      <c r="F22" t="s">
        <v>48</v>
      </c>
      <c r="G22" t="s">
        <v>27</v>
      </c>
      <c r="H22" t="s">
        <v>28</v>
      </c>
      <c r="I22">
        <v>7</v>
      </c>
      <c r="J22">
        <v>53893</v>
      </c>
      <c r="K22">
        <v>0.05</v>
      </c>
      <c r="L22" t="s">
        <v>51</v>
      </c>
    </row>
    <row r="23" spans="1:12">
      <c r="A23" t="s">
        <v>115</v>
      </c>
      <c r="B23" t="s">
        <v>116</v>
      </c>
      <c r="C23" t="s">
        <v>54</v>
      </c>
      <c r="D23" t="s">
        <v>60</v>
      </c>
      <c r="E23" t="s">
        <v>33</v>
      </c>
      <c r="F23" t="s">
        <v>48</v>
      </c>
      <c r="G23" t="s">
        <v>27</v>
      </c>
      <c r="H23" t="s">
        <v>117</v>
      </c>
      <c r="I23">
        <v>4</v>
      </c>
      <c r="J23">
        <v>60633</v>
      </c>
      <c r="K23">
        <v>0.08</v>
      </c>
      <c r="L23" t="s">
        <v>36</v>
      </c>
    </row>
    <row r="24" spans="1:12">
      <c r="A24" t="s">
        <v>118</v>
      </c>
      <c r="B24" t="s">
        <v>119</v>
      </c>
      <c r="C24" t="s">
        <v>65</v>
      </c>
      <c r="D24" t="s">
        <v>24</v>
      </c>
      <c r="E24" t="s">
        <v>41</v>
      </c>
      <c r="F24" t="s">
        <v>94</v>
      </c>
      <c r="G24" t="s">
        <v>61</v>
      </c>
      <c r="H24" t="s">
        <v>75</v>
      </c>
      <c r="I24">
        <v>7</v>
      </c>
      <c r="J24">
        <v>12966</v>
      </c>
      <c r="K24">
        <v>0.15</v>
      </c>
      <c r="L24" t="s">
        <v>51</v>
      </c>
    </row>
    <row r="25" spans="1:12">
      <c r="A25" t="s">
        <v>120</v>
      </c>
      <c r="B25" t="s">
        <v>121</v>
      </c>
      <c r="C25" t="s">
        <v>70</v>
      </c>
      <c r="D25" t="s">
        <v>86</v>
      </c>
      <c r="E25" t="s">
        <v>41</v>
      </c>
      <c r="F25" t="s">
        <v>48</v>
      </c>
      <c r="G25" t="s">
        <v>42</v>
      </c>
      <c r="H25" t="s">
        <v>43</v>
      </c>
      <c r="I25">
        <v>4</v>
      </c>
      <c r="J25" t="s">
        <v>122</v>
      </c>
      <c r="K25">
        <v>0.08</v>
      </c>
      <c r="L25" t="s">
        <v>57</v>
      </c>
    </row>
    <row r="26" spans="1:12">
      <c r="A26" t="s">
        <v>123</v>
      </c>
      <c r="B26" t="s">
        <v>124</v>
      </c>
      <c r="C26" t="s">
        <v>46</v>
      </c>
      <c r="D26" t="s">
        <v>125</v>
      </c>
      <c r="E26" t="s">
        <v>33</v>
      </c>
      <c r="F26" t="s">
        <v>94</v>
      </c>
      <c r="G26" t="s">
        <v>42</v>
      </c>
      <c r="H26" t="s">
        <v>43</v>
      </c>
      <c r="I26">
        <v>5</v>
      </c>
      <c r="J26">
        <v>770</v>
      </c>
      <c r="K26">
        <v>0.02</v>
      </c>
      <c r="L26" t="s">
        <v>29</v>
      </c>
    </row>
    <row r="27" spans="1:12">
      <c r="A27" t="s">
        <v>126</v>
      </c>
      <c r="B27" t="s">
        <v>31</v>
      </c>
      <c r="C27" t="s">
        <v>39</v>
      </c>
      <c r="D27" t="s">
        <v>127</v>
      </c>
      <c r="E27" t="s">
        <v>25</v>
      </c>
      <c r="F27" t="s">
        <v>48</v>
      </c>
      <c r="G27" t="s">
        <v>61</v>
      </c>
      <c r="H27" t="s">
        <v>75</v>
      </c>
      <c r="I27">
        <v>-2</v>
      </c>
      <c r="J27">
        <v>18060</v>
      </c>
      <c r="K27">
        <v>0.02</v>
      </c>
      <c r="L27" t="s">
        <v>51</v>
      </c>
    </row>
    <row r="28" spans="1:12">
      <c r="A28" t="s">
        <v>128</v>
      </c>
      <c r="B28" t="s">
        <v>129</v>
      </c>
      <c r="C28" t="s">
        <v>46</v>
      </c>
      <c r="D28" t="s">
        <v>130</v>
      </c>
      <c r="E28" t="s">
        <v>33</v>
      </c>
      <c r="F28" t="s">
        <v>26</v>
      </c>
      <c r="G28" t="s">
        <v>34</v>
      </c>
      <c r="H28" t="s">
        <v>98</v>
      </c>
      <c r="I28">
        <v>1</v>
      </c>
      <c r="J28">
        <v>5228</v>
      </c>
      <c r="K28">
        <v>0.02</v>
      </c>
      <c r="L28" t="s">
        <v>51</v>
      </c>
    </row>
    <row r="29" spans="1:12">
      <c r="A29" t="s">
        <v>131</v>
      </c>
      <c r="B29" t="s">
        <v>132</v>
      </c>
      <c r="C29" t="s">
        <v>78</v>
      </c>
      <c r="D29" t="s">
        <v>32</v>
      </c>
      <c r="E29" t="s">
        <v>33</v>
      </c>
      <c r="F29" t="s">
        <v>48</v>
      </c>
      <c r="G29" t="s">
        <v>49</v>
      </c>
      <c r="H29" t="s">
        <v>50</v>
      </c>
      <c r="I29">
        <v>3</v>
      </c>
      <c r="J29">
        <v>2165</v>
      </c>
      <c r="K29">
        <v>0.02</v>
      </c>
      <c r="L29" t="s">
        <v>51</v>
      </c>
    </row>
    <row r="30" spans="1:12">
      <c r="A30" t="s">
        <v>133</v>
      </c>
      <c r="B30" t="s">
        <v>134</v>
      </c>
      <c r="C30" t="s">
        <v>46</v>
      </c>
      <c r="D30" t="s">
        <v>135</v>
      </c>
      <c r="E30" t="s">
        <v>41</v>
      </c>
      <c r="F30" t="s">
        <v>94</v>
      </c>
      <c r="G30" t="s">
        <v>61</v>
      </c>
      <c r="H30" t="s">
        <v>62</v>
      </c>
      <c r="I30">
        <v>2</v>
      </c>
      <c r="J30">
        <v>16366</v>
      </c>
      <c r="K30">
        <v>0</v>
      </c>
      <c r="L30" t="s">
        <v>51</v>
      </c>
    </row>
    <row r="31" spans="1:12">
      <c r="A31" t="s">
        <v>136</v>
      </c>
      <c r="B31" t="s">
        <v>137</v>
      </c>
      <c r="C31" t="s">
        <v>70</v>
      </c>
      <c r="D31" t="s">
        <v>138</v>
      </c>
      <c r="E31" t="s">
        <v>25</v>
      </c>
      <c r="F31" t="s">
        <v>94</v>
      </c>
      <c r="G31" t="s">
        <v>49</v>
      </c>
      <c r="H31" t="s">
        <v>50</v>
      </c>
      <c r="I31">
        <v>8</v>
      </c>
      <c r="J31">
        <v>5354</v>
      </c>
      <c r="K31">
        <v>0.05</v>
      </c>
      <c r="L31" t="s">
        <v>51</v>
      </c>
    </row>
    <row r="32" spans="1:12">
      <c r="A32" t="s">
        <v>139</v>
      </c>
      <c r="B32" t="s">
        <v>140</v>
      </c>
      <c r="C32" t="s">
        <v>54</v>
      </c>
      <c r="D32" t="s">
        <v>79</v>
      </c>
      <c r="E32" t="s">
        <v>41</v>
      </c>
      <c r="F32" t="s">
        <v>48</v>
      </c>
      <c r="G32" t="s">
        <v>27</v>
      </c>
      <c r="H32" t="s">
        <v>141</v>
      </c>
      <c r="I32">
        <v>8</v>
      </c>
      <c r="J32">
        <v>66186</v>
      </c>
      <c r="K32">
        <v>0.08</v>
      </c>
      <c r="L32" t="s">
        <v>51</v>
      </c>
    </row>
    <row r="33" spans="1:12">
      <c r="A33" t="s">
        <v>142</v>
      </c>
      <c r="B33" t="s">
        <v>143</v>
      </c>
      <c r="C33" t="s">
        <v>74</v>
      </c>
      <c r="D33" t="s">
        <v>144</v>
      </c>
      <c r="E33" t="s">
        <v>33</v>
      </c>
      <c r="F33" t="s">
        <v>94</v>
      </c>
      <c r="G33" t="s">
        <v>34</v>
      </c>
      <c r="H33" t="s">
        <v>145</v>
      </c>
      <c r="I33">
        <v>8</v>
      </c>
      <c r="J33">
        <v>1963</v>
      </c>
      <c r="K33">
        <v>0</v>
      </c>
      <c r="L33" t="s">
        <v>36</v>
      </c>
    </row>
    <row r="34" spans="1:12">
      <c r="A34" t="s">
        <v>146</v>
      </c>
      <c r="B34" t="s">
        <v>147</v>
      </c>
      <c r="C34" t="s">
        <v>54</v>
      </c>
      <c r="D34" t="s">
        <v>79</v>
      </c>
      <c r="E34" t="s">
        <v>41</v>
      </c>
      <c r="F34" t="s">
        <v>94</v>
      </c>
      <c r="G34" t="s">
        <v>42</v>
      </c>
      <c r="H34" t="s">
        <v>43</v>
      </c>
      <c r="I34">
        <v>8</v>
      </c>
      <c r="J34">
        <v>3104</v>
      </c>
      <c r="K34">
        <v>0.02</v>
      </c>
      <c r="L34" t="s">
        <v>29</v>
      </c>
    </row>
    <row r="35" spans="1:12">
      <c r="A35" t="s">
        <v>148</v>
      </c>
      <c r="B35" t="s">
        <v>149</v>
      </c>
      <c r="C35" t="s">
        <v>39</v>
      </c>
      <c r="D35" t="s">
        <v>111</v>
      </c>
      <c r="E35" t="s">
        <v>25</v>
      </c>
      <c r="F35" t="s">
        <v>94</v>
      </c>
      <c r="G35" t="s">
        <v>61</v>
      </c>
      <c r="H35" t="s">
        <v>62</v>
      </c>
      <c r="I35">
        <v>2</v>
      </c>
      <c r="J35">
        <v>25459</v>
      </c>
      <c r="K35">
        <v>0.1</v>
      </c>
      <c r="L35" t="s">
        <v>29</v>
      </c>
    </row>
    <row r="36" spans="1:12">
      <c r="A36" t="s">
        <v>150</v>
      </c>
      <c r="B36" t="s">
        <v>151</v>
      </c>
      <c r="C36" t="s">
        <v>23</v>
      </c>
      <c r="D36" t="s">
        <v>152</v>
      </c>
      <c r="E36" t="s">
        <v>153</v>
      </c>
      <c r="F36" t="s">
        <v>48</v>
      </c>
      <c r="G36" t="s">
        <v>42</v>
      </c>
      <c r="H36" t="s">
        <v>154</v>
      </c>
      <c r="I36">
        <v>7</v>
      </c>
      <c r="J36">
        <v>1631</v>
      </c>
      <c r="K36">
        <v>0</v>
      </c>
      <c r="L36" t="s">
        <v>36</v>
      </c>
    </row>
    <row r="37" spans="1:12">
      <c r="A37" t="s">
        <v>155</v>
      </c>
      <c r="B37" t="s">
        <v>156</v>
      </c>
      <c r="C37" t="s">
        <v>74</v>
      </c>
      <c r="D37" t="s">
        <v>125</v>
      </c>
      <c r="E37" t="s">
        <v>25</v>
      </c>
      <c r="F37" t="s">
        <v>94</v>
      </c>
      <c r="G37" t="s">
        <v>49</v>
      </c>
      <c r="H37" t="s">
        <v>50</v>
      </c>
      <c r="I37">
        <v>5</v>
      </c>
      <c r="J37">
        <v>6725</v>
      </c>
      <c r="K37">
        <v>0.08</v>
      </c>
      <c r="L37" t="s">
        <v>51</v>
      </c>
    </row>
    <row r="38" spans="1:12">
      <c r="A38" t="s">
        <v>157</v>
      </c>
      <c r="B38" t="s">
        <v>158</v>
      </c>
      <c r="C38" t="s">
        <v>89</v>
      </c>
      <c r="D38" t="s">
        <v>159</v>
      </c>
      <c r="E38" t="s">
        <v>41</v>
      </c>
      <c r="F38" t="s">
        <v>48</v>
      </c>
      <c r="G38" t="s">
        <v>42</v>
      </c>
      <c r="H38" t="s">
        <v>154</v>
      </c>
      <c r="I38">
        <v>7</v>
      </c>
      <c r="J38">
        <v>789</v>
      </c>
      <c r="K38">
        <v>0.05</v>
      </c>
      <c r="L38" t="s">
        <v>51</v>
      </c>
    </row>
    <row r="39" spans="1:12">
      <c r="A39" t="s">
        <v>160</v>
      </c>
      <c r="B39" t="s">
        <v>161</v>
      </c>
      <c r="C39" t="s">
        <v>110</v>
      </c>
      <c r="D39" t="s">
        <v>55</v>
      </c>
      <c r="E39" t="s">
        <v>41</v>
      </c>
      <c r="F39" t="s">
        <v>94</v>
      </c>
      <c r="G39" t="s">
        <v>27</v>
      </c>
      <c r="H39" t="s">
        <v>141</v>
      </c>
      <c r="I39">
        <v>5</v>
      </c>
      <c r="J39">
        <v>47186</v>
      </c>
      <c r="K39">
        <v>0.05</v>
      </c>
      <c r="L39" t="s">
        <v>36</v>
      </c>
    </row>
    <row r="40" spans="1:12">
      <c r="A40" t="s">
        <v>162</v>
      </c>
      <c r="B40" t="s">
        <v>163</v>
      </c>
      <c r="C40" t="s">
        <v>46</v>
      </c>
      <c r="D40" t="s">
        <v>105</v>
      </c>
      <c r="E40" t="s">
        <v>41</v>
      </c>
      <c r="F40" t="s">
        <v>48</v>
      </c>
      <c r="G40" t="s">
        <v>61</v>
      </c>
      <c r="H40" t="s">
        <v>75</v>
      </c>
      <c r="I40">
        <v>5</v>
      </c>
      <c r="J40">
        <v>20985</v>
      </c>
      <c r="K40">
        <v>0.1</v>
      </c>
      <c r="L40" t="s">
        <v>51</v>
      </c>
    </row>
    <row r="41" spans="1:12">
      <c r="A41" t="s">
        <v>164</v>
      </c>
      <c r="B41" t="s">
        <v>165</v>
      </c>
      <c r="C41" t="s">
        <v>70</v>
      </c>
      <c r="D41" t="s">
        <v>86</v>
      </c>
      <c r="E41" t="s">
        <v>41</v>
      </c>
      <c r="F41" t="s">
        <v>94</v>
      </c>
      <c r="G41" t="s">
        <v>27</v>
      </c>
      <c r="H41" t="s">
        <v>28</v>
      </c>
      <c r="I41">
        <v>3</v>
      </c>
      <c r="J41">
        <v>77284</v>
      </c>
      <c r="K41">
        <v>0.08</v>
      </c>
      <c r="L41" t="s">
        <v>29</v>
      </c>
    </row>
    <row r="42" spans="1:12">
      <c r="A42" t="s">
        <v>166</v>
      </c>
      <c r="B42" t="s">
        <v>167</v>
      </c>
      <c r="C42" t="s">
        <v>168</v>
      </c>
      <c r="D42" t="s">
        <v>97</v>
      </c>
      <c r="E42" t="s">
        <v>25</v>
      </c>
      <c r="F42" t="s">
        <v>48</v>
      </c>
      <c r="G42" t="s">
        <v>34</v>
      </c>
      <c r="H42" t="s">
        <v>35</v>
      </c>
      <c r="I42">
        <v>4</v>
      </c>
      <c r="J42">
        <v>2200</v>
      </c>
      <c r="K42">
        <v>0.15</v>
      </c>
      <c r="L42" t="s">
        <v>36</v>
      </c>
    </row>
    <row r="43" spans="1:12">
      <c r="A43" t="s">
        <v>169</v>
      </c>
      <c r="B43" t="s">
        <v>170</v>
      </c>
      <c r="C43" t="s">
        <v>39</v>
      </c>
      <c r="D43" t="s">
        <v>24</v>
      </c>
      <c r="E43" t="s">
        <v>41</v>
      </c>
      <c r="F43" t="s">
        <v>26</v>
      </c>
      <c r="G43" t="s">
        <v>61</v>
      </c>
      <c r="H43" t="s">
        <v>90</v>
      </c>
      <c r="I43">
        <v>6</v>
      </c>
      <c r="J43">
        <v>12602</v>
      </c>
      <c r="K43">
        <v>0.02</v>
      </c>
      <c r="L43" t="s">
        <v>57</v>
      </c>
    </row>
    <row r="44" spans="1:12">
      <c r="A44" t="s">
        <v>171</v>
      </c>
      <c r="B44" t="s">
        <v>172</v>
      </c>
      <c r="C44" t="s">
        <v>23</v>
      </c>
      <c r="D44" t="s">
        <v>55</v>
      </c>
      <c r="E44" t="s">
        <v>25</v>
      </c>
      <c r="F44" t="s">
        <v>94</v>
      </c>
      <c r="G44" t="s">
        <v>49</v>
      </c>
      <c r="H44" t="s">
        <v>83</v>
      </c>
      <c r="I44">
        <v>2</v>
      </c>
      <c r="J44">
        <v>4992</v>
      </c>
      <c r="K44">
        <v>0.08</v>
      </c>
      <c r="L44" t="s">
        <v>36</v>
      </c>
    </row>
    <row r="45" spans="1:12">
      <c r="A45" t="s">
        <v>173</v>
      </c>
      <c r="B45" t="s">
        <v>174</v>
      </c>
      <c r="C45" t="s">
        <v>54</v>
      </c>
      <c r="D45" t="s">
        <v>66</v>
      </c>
      <c r="E45" t="s">
        <v>41</v>
      </c>
      <c r="F45" t="s">
        <v>26</v>
      </c>
      <c r="G45" t="s">
        <v>49</v>
      </c>
      <c r="H45" t="s">
        <v>50</v>
      </c>
      <c r="I45">
        <v>8</v>
      </c>
      <c r="J45">
        <v>4276</v>
      </c>
      <c r="K45">
        <v>0.08</v>
      </c>
      <c r="L45" t="s">
        <v>29</v>
      </c>
    </row>
    <row r="46" spans="1:12">
      <c r="A46" t="s">
        <v>175</v>
      </c>
      <c r="B46" t="s">
        <v>176</v>
      </c>
      <c r="C46" t="s">
        <v>110</v>
      </c>
      <c r="D46" t="s">
        <v>32</v>
      </c>
      <c r="E46" t="s">
        <v>25</v>
      </c>
      <c r="F46" t="s">
        <v>26</v>
      </c>
      <c r="G46" t="s">
        <v>49</v>
      </c>
      <c r="H46" t="s">
        <v>83</v>
      </c>
      <c r="I46">
        <v>5</v>
      </c>
      <c r="J46">
        <v>3856</v>
      </c>
      <c r="K46">
        <v>0.05</v>
      </c>
      <c r="L46" t="s">
        <v>51</v>
      </c>
    </row>
    <row r="47" spans="1:12">
      <c r="A47" t="s">
        <v>177</v>
      </c>
      <c r="B47" t="s">
        <v>178</v>
      </c>
      <c r="C47" t="s">
        <v>179</v>
      </c>
      <c r="D47" t="s">
        <v>24</v>
      </c>
      <c r="E47" t="s">
        <v>25</v>
      </c>
      <c r="F47" t="s">
        <v>26</v>
      </c>
      <c r="G47" t="s">
        <v>49</v>
      </c>
      <c r="H47" t="s">
        <v>50</v>
      </c>
      <c r="I47">
        <v>6</v>
      </c>
      <c r="J47">
        <v>4283</v>
      </c>
      <c r="K47">
        <v>0</v>
      </c>
      <c r="L47" t="s">
        <v>51</v>
      </c>
    </row>
    <row r="48" spans="1:12">
      <c r="A48" t="s">
        <v>180</v>
      </c>
      <c r="B48" t="s">
        <v>181</v>
      </c>
      <c r="C48" t="s">
        <v>110</v>
      </c>
      <c r="D48" t="s">
        <v>111</v>
      </c>
      <c r="E48" t="s">
        <v>41</v>
      </c>
      <c r="F48" t="s">
        <v>26</v>
      </c>
      <c r="G48" t="s">
        <v>61</v>
      </c>
      <c r="H48" t="s">
        <v>90</v>
      </c>
      <c r="I48">
        <v>8</v>
      </c>
      <c r="J48">
        <v>17916</v>
      </c>
      <c r="K48">
        <v>0.1</v>
      </c>
      <c r="L48" t="s">
        <v>29</v>
      </c>
    </row>
    <row r="49" spans="1:12">
      <c r="A49" t="s">
        <v>182</v>
      </c>
      <c r="B49" t="s">
        <v>183</v>
      </c>
      <c r="C49" t="s">
        <v>110</v>
      </c>
      <c r="D49" t="s">
        <v>82</v>
      </c>
      <c r="E49" t="s">
        <v>41</v>
      </c>
      <c r="F49" t="s">
        <v>184</v>
      </c>
      <c r="G49" t="s">
        <v>61</v>
      </c>
      <c r="H49" t="s">
        <v>62</v>
      </c>
      <c r="I49">
        <v>3</v>
      </c>
      <c r="J49">
        <v>12931</v>
      </c>
      <c r="K49">
        <v>0.02</v>
      </c>
      <c r="L49" t="s">
        <v>29</v>
      </c>
    </row>
    <row r="50" spans="1:12">
      <c r="A50" t="s">
        <v>185</v>
      </c>
      <c r="B50" t="s">
        <v>186</v>
      </c>
      <c r="C50" t="s">
        <v>23</v>
      </c>
      <c r="D50" t="s">
        <v>60</v>
      </c>
      <c r="E50" t="s">
        <v>41</v>
      </c>
      <c r="F50" t="s">
        <v>48</v>
      </c>
      <c r="G50" t="s">
        <v>27</v>
      </c>
      <c r="H50" t="s">
        <v>141</v>
      </c>
      <c r="I50">
        <v>4</v>
      </c>
      <c r="J50">
        <v>75152</v>
      </c>
      <c r="K50">
        <v>0.08</v>
      </c>
      <c r="L50" t="s">
        <v>57</v>
      </c>
    </row>
    <row r="51" spans="1:12">
      <c r="A51" t="s">
        <v>187</v>
      </c>
      <c r="B51" t="s">
        <v>188</v>
      </c>
      <c r="C51" t="s">
        <v>74</v>
      </c>
      <c r="D51" t="s">
        <v>125</v>
      </c>
      <c r="E51" t="s">
        <v>33</v>
      </c>
      <c r="F51" t="s">
        <v>26</v>
      </c>
      <c r="G51" t="s">
        <v>61</v>
      </c>
      <c r="H51" t="s">
        <v>62</v>
      </c>
      <c r="I51">
        <v>8</v>
      </c>
      <c r="J51">
        <v>14009</v>
      </c>
      <c r="K51">
        <v>0.08</v>
      </c>
      <c r="L51" t="s">
        <v>57</v>
      </c>
    </row>
    <row r="52" spans="1:12">
      <c r="A52" t="s">
        <v>189</v>
      </c>
      <c r="B52" t="s">
        <v>190</v>
      </c>
      <c r="C52" t="s">
        <v>74</v>
      </c>
      <c r="D52" t="s">
        <v>191</v>
      </c>
      <c r="E52" t="s">
        <v>33</v>
      </c>
      <c r="F52" t="s">
        <v>94</v>
      </c>
      <c r="G52" t="s">
        <v>42</v>
      </c>
      <c r="H52" t="s">
        <v>43</v>
      </c>
      <c r="I52">
        <v>2</v>
      </c>
      <c r="J52">
        <v>1014</v>
      </c>
      <c r="K52">
        <v>0.1</v>
      </c>
      <c r="L52" t="s">
        <v>57</v>
      </c>
    </row>
    <row r="53" spans="1:12">
      <c r="A53" t="s">
        <v>192</v>
      </c>
      <c r="B53" t="s">
        <v>193</v>
      </c>
      <c r="C53" t="s">
        <v>70</v>
      </c>
      <c r="D53" t="s">
        <v>60</v>
      </c>
      <c r="E53" t="s">
        <v>194</v>
      </c>
      <c r="F53" t="s">
        <v>26</v>
      </c>
      <c r="G53" t="s">
        <v>27</v>
      </c>
      <c r="H53" t="s">
        <v>117</v>
      </c>
      <c r="I53">
        <v>3</v>
      </c>
      <c r="J53">
        <v>47565</v>
      </c>
      <c r="K53">
        <v>0.05</v>
      </c>
      <c r="L53" t="s">
        <v>51</v>
      </c>
    </row>
    <row r="54" spans="1:12">
      <c r="A54" t="s">
        <v>195</v>
      </c>
      <c r="B54" t="s">
        <v>122</v>
      </c>
      <c r="C54" t="s">
        <v>54</v>
      </c>
      <c r="D54" t="s">
        <v>93</v>
      </c>
      <c r="E54" t="s">
        <v>33</v>
      </c>
      <c r="F54" t="s">
        <v>26</v>
      </c>
      <c r="G54" t="s">
        <v>34</v>
      </c>
      <c r="H54" t="s">
        <v>35</v>
      </c>
      <c r="I54">
        <v>2</v>
      </c>
      <c r="J54">
        <v>4410</v>
      </c>
      <c r="K54">
        <v>0.05</v>
      </c>
      <c r="L54" t="s">
        <v>57</v>
      </c>
    </row>
    <row r="55" spans="1:12">
      <c r="A55" t="s">
        <v>196</v>
      </c>
      <c r="B55" t="s">
        <v>197</v>
      </c>
      <c r="C55" t="s">
        <v>39</v>
      </c>
      <c r="D55" t="s">
        <v>79</v>
      </c>
      <c r="E55" t="s">
        <v>25</v>
      </c>
      <c r="F55" t="s">
        <v>48</v>
      </c>
      <c r="G55" t="s">
        <v>61</v>
      </c>
      <c r="H55" t="s">
        <v>75</v>
      </c>
      <c r="I55">
        <v>3</v>
      </c>
      <c r="J55">
        <v>25635</v>
      </c>
      <c r="K55">
        <v>0.1</v>
      </c>
      <c r="L55" t="s">
        <v>29</v>
      </c>
    </row>
    <row r="56" spans="1:12">
      <c r="A56" t="s">
        <v>198</v>
      </c>
      <c r="B56" t="s">
        <v>199</v>
      </c>
      <c r="C56" t="s">
        <v>39</v>
      </c>
      <c r="D56" t="s">
        <v>200</v>
      </c>
      <c r="E56" t="s">
        <v>41</v>
      </c>
      <c r="F56" t="s">
        <v>26</v>
      </c>
      <c r="G56" t="s">
        <v>42</v>
      </c>
      <c r="H56" t="s">
        <v>67</v>
      </c>
      <c r="I56">
        <v>7</v>
      </c>
      <c r="J56">
        <v>1854</v>
      </c>
      <c r="K56">
        <v>0.02</v>
      </c>
      <c r="L56" t="s">
        <v>51</v>
      </c>
    </row>
    <row r="57" spans="1:12">
      <c r="A57" t="s">
        <v>201</v>
      </c>
      <c r="B57" t="s">
        <v>202</v>
      </c>
      <c r="C57" t="s">
        <v>89</v>
      </c>
      <c r="D57" t="s">
        <v>152</v>
      </c>
      <c r="E57" t="s">
        <v>33</v>
      </c>
      <c r="F57" t="s">
        <v>48</v>
      </c>
      <c r="G57" t="s">
        <v>42</v>
      </c>
      <c r="H57" t="s">
        <v>43</v>
      </c>
      <c r="I57">
        <v>4</v>
      </c>
      <c r="J57">
        <v>2756</v>
      </c>
      <c r="K57">
        <v>0.08</v>
      </c>
      <c r="L57" t="s">
        <v>51</v>
      </c>
    </row>
    <row r="58" spans="1:12">
      <c r="A58" t="s">
        <v>203</v>
      </c>
      <c r="B58" t="s">
        <v>204</v>
      </c>
      <c r="C58" t="s">
        <v>70</v>
      </c>
      <c r="D58" t="s">
        <v>60</v>
      </c>
      <c r="E58" t="s">
        <v>25</v>
      </c>
      <c r="F58" t="s">
        <v>94</v>
      </c>
      <c r="G58" t="s">
        <v>34</v>
      </c>
      <c r="H58" t="s">
        <v>35</v>
      </c>
      <c r="I58">
        <v>4</v>
      </c>
      <c r="J58" t="s">
        <v>122</v>
      </c>
      <c r="K58">
        <v>0.05</v>
      </c>
      <c r="L58" t="s">
        <v>51</v>
      </c>
    </row>
    <row r="59" spans="1:12">
      <c r="A59" t="s">
        <v>205</v>
      </c>
      <c r="B59" t="s">
        <v>206</v>
      </c>
      <c r="C59" t="s">
        <v>70</v>
      </c>
      <c r="D59" t="s">
        <v>200</v>
      </c>
      <c r="E59" t="s">
        <v>25</v>
      </c>
      <c r="F59" t="s">
        <v>48</v>
      </c>
      <c r="G59" t="s">
        <v>27</v>
      </c>
      <c r="H59" t="s">
        <v>117</v>
      </c>
      <c r="I59">
        <v>1</v>
      </c>
      <c r="J59">
        <v>49435</v>
      </c>
      <c r="K59">
        <v>0.08</v>
      </c>
      <c r="L59" t="s">
        <v>29</v>
      </c>
    </row>
    <row r="60" spans="1:12">
      <c r="A60" t="s">
        <v>207</v>
      </c>
      <c r="B60" t="s">
        <v>208</v>
      </c>
      <c r="C60" t="s">
        <v>89</v>
      </c>
      <c r="D60" t="s">
        <v>209</v>
      </c>
      <c r="E60" t="s">
        <v>41</v>
      </c>
      <c r="F60" t="s">
        <v>26</v>
      </c>
      <c r="G60" t="s">
        <v>42</v>
      </c>
      <c r="H60" t="s">
        <v>154</v>
      </c>
      <c r="I60">
        <v>5</v>
      </c>
      <c r="J60">
        <v>2574</v>
      </c>
      <c r="K60">
        <v>0.02</v>
      </c>
      <c r="L60" t="s">
        <v>51</v>
      </c>
    </row>
    <row r="61" spans="1:12">
      <c r="A61" t="s">
        <v>210</v>
      </c>
      <c r="B61" t="s">
        <v>211</v>
      </c>
      <c r="C61" t="s">
        <v>23</v>
      </c>
      <c r="D61" t="s">
        <v>55</v>
      </c>
      <c r="E61" t="s">
        <v>33</v>
      </c>
      <c r="F61" t="s">
        <v>48</v>
      </c>
      <c r="G61" t="s">
        <v>42</v>
      </c>
      <c r="H61" t="s">
        <v>43</v>
      </c>
      <c r="I61">
        <v>8</v>
      </c>
      <c r="J61">
        <v>2732</v>
      </c>
      <c r="K61">
        <v>0.05</v>
      </c>
      <c r="L61" t="s">
        <v>57</v>
      </c>
    </row>
    <row r="62" spans="1:12">
      <c r="A62" t="s">
        <v>212</v>
      </c>
      <c r="B62" t="s">
        <v>213</v>
      </c>
      <c r="C62" t="s">
        <v>39</v>
      </c>
      <c r="D62" t="s">
        <v>200</v>
      </c>
      <c r="E62" t="s">
        <v>33</v>
      </c>
      <c r="F62" t="s">
        <v>214</v>
      </c>
      <c r="G62" t="s">
        <v>27</v>
      </c>
      <c r="H62" t="s">
        <v>117</v>
      </c>
      <c r="I62">
        <v>7</v>
      </c>
      <c r="J62">
        <v>73504</v>
      </c>
      <c r="K62">
        <v>0.05</v>
      </c>
      <c r="L62" t="s">
        <v>57</v>
      </c>
    </row>
    <row r="63" spans="1:12">
      <c r="A63" t="s">
        <v>215</v>
      </c>
      <c r="B63" t="s">
        <v>216</v>
      </c>
      <c r="C63" t="s">
        <v>39</v>
      </c>
      <c r="D63" t="s">
        <v>130</v>
      </c>
      <c r="E63" t="s">
        <v>33</v>
      </c>
      <c r="F63" t="s">
        <v>94</v>
      </c>
      <c r="G63" t="s">
        <v>34</v>
      </c>
      <c r="H63" t="s">
        <v>98</v>
      </c>
      <c r="I63">
        <v>5</v>
      </c>
      <c r="J63">
        <v>4206</v>
      </c>
      <c r="K63">
        <v>0.02</v>
      </c>
      <c r="L63" t="s">
        <v>51</v>
      </c>
    </row>
    <row r="64" spans="1:12">
      <c r="A64" t="s">
        <v>217</v>
      </c>
      <c r="B64" t="s">
        <v>218</v>
      </c>
      <c r="C64" t="s">
        <v>110</v>
      </c>
      <c r="D64" t="s">
        <v>219</v>
      </c>
      <c r="E64" t="s">
        <v>56</v>
      </c>
      <c r="F64" t="s">
        <v>26</v>
      </c>
      <c r="G64" t="s">
        <v>42</v>
      </c>
      <c r="H64" t="s">
        <v>67</v>
      </c>
      <c r="I64">
        <v>3</v>
      </c>
      <c r="J64">
        <v>1928</v>
      </c>
      <c r="K64">
        <v>0.05</v>
      </c>
      <c r="L64" t="s">
        <v>57</v>
      </c>
    </row>
    <row r="65" spans="1:12">
      <c r="A65" t="s">
        <v>220</v>
      </c>
      <c r="B65" t="s">
        <v>221</v>
      </c>
      <c r="C65" t="s">
        <v>39</v>
      </c>
      <c r="D65" t="s">
        <v>130</v>
      </c>
      <c r="E65" t="s">
        <v>33</v>
      </c>
      <c r="F65" t="s">
        <v>48</v>
      </c>
      <c r="G65" t="s">
        <v>42</v>
      </c>
      <c r="H65" t="s">
        <v>43</v>
      </c>
      <c r="I65">
        <v>6</v>
      </c>
      <c r="J65">
        <v>2543</v>
      </c>
      <c r="K65">
        <v>0.02</v>
      </c>
      <c r="L65" t="s">
        <v>57</v>
      </c>
    </row>
    <row r="66" spans="1:12">
      <c r="A66" t="s">
        <v>222</v>
      </c>
      <c r="B66" t="s">
        <v>223</v>
      </c>
      <c r="C66" t="s">
        <v>54</v>
      </c>
      <c r="D66" t="s">
        <v>86</v>
      </c>
      <c r="E66" t="s">
        <v>25</v>
      </c>
      <c r="F66" t="s">
        <v>26</v>
      </c>
      <c r="G66" t="s">
        <v>34</v>
      </c>
      <c r="H66" t="s">
        <v>35</v>
      </c>
      <c r="I66">
        <v>3</v>
      </c>
      <c r="J66">
        <v>1965</v>
      </c>
      <c r="K66">
        <v>0.1</v>
      </c>
      <c r="L66" t="s">
        <v>57</v>
      </c>
    </row>
    <row r="67" spans="1:12">
      <c r="A67" t="s">
        <v>224</v>
      </c>
      <c r="B67" t="s">
        <v>225</v>
      </c>
      <c r="C67" t="s">
        <v>54</v>
      </c>
      <c r="D67" t="s">
        <v>97</v>
      </c>
      <c r="E67" t="s">
        <v>33</v>
      </c>
      <c r="F67" t="s">
        <v>94</v>
      </c>
      <c r="G67" t="s">
        <v>42</v>
      </c>
      <c r="H67" t="s">
        <v>67</v>
      </c>
      <c r="I67">
        <v>8</v>
      </c>
      <c r="J67">
        <v>945</v>
      </c>
      <c r="K67">
        <v>0.08</v>
      </c>
      <c r="L67" t="s">
        <v>29</v>
      </c>
    </row>
    <row r="68" spans="1:12">
      <c r="A68" t="s">
        <v>226</v>
      </c>
      <c r="B68" t="s">
        <v>227</v>
      </c>
      <c r="C68" t="s">
        <v>74</v>
      </c>
      <c r="D68" t="s">
        <v>97</v>
      </c>
      <c r="E68" t="s">
        <v>25</v>
      </c>
      <c r="F68" t="s">
        <v>94</v>
      </c>
      <c r="G68" t="s">
        <v>34</v>
      </c>
      <c r="H68" t="s">
        <v>98</v>
      </c>
      <c r="I68">
        <v>6</v>
      </c>
      <c r="J68">
        <v>3882</v>
      </c>
      <c r="K68">
        <v>0.02</v>
      </c>
      <c r="L68" t="s">
        <v>51</v>
      </c>
    </row>
    <row r="69" spans="1:12">
      <c r="A69" t="s">
        <v>228</v>
      </c>
      <c r="B69" t="s">
        <v>229</v>
      </c>
      <c r="C69" t="s">
        <v>110</v>
      </c>
      <c r="D69" t="s">
        <v>114</v>
      </c>
      <c r="E69" t="s">
        <v>41</v>
      </c>
      <c r="F69" t="s">
        <v>26</v>
      </c>
      <c r="G69" t="s">
        <v>27</v>
      </c>
      <c r="H69" t="s">
        <v>28</v>
      </c>
      <c r="I69">
        <v>1</v>
      </c>
      <c r="J69">
        <v>53777</v>
      </c>
      <c r="K69">
        <v>0.08</v>
      </c>
      <c r="L69" t="s">
        <v>51</v>
      </c>
    </row>
    <row r="70" spans="1:12">
      <c r="A70" t="s">
        <v>230</v>
      </c>
      <c r="B70" t="s">
        <v>231</v>
      </c>
      <c r="C70" t="s">
        <v>39</v>
      </c>
      <c r="D70" t="s">
        <v>152</v>
      </c>
      <c r="E70" t="s">
        <v>25</v>
      </c>
      <c r="F70" t="s">
        <v>26</v>
      </c>
      <c r="G70" t="s">
        <v>49</v>
      </c>
      <c r="H70" t="s">
        <v>83</v>
      </c>
      <c r="I70">
        <v>8</v>
      </c>
      <c r="J70">
        <v>5380</v>
      </c>
      <c r="K70" t="s">
        <v>122</v>
      </c>
      <c r="L70" t="s">
        <v>57</v>
      </c>
    </row>
    <row r="71" spans="1:12">
      <c r="A71" t="s">
        <v>232</v>
      </c>
      <c r="B71" t="s">
        <v>233</v>
      </c>
      <c r="C71" t="s">
        <v>39</v>
      </c>
      <c r="D71" t="s">
        <v>82</v>
      </c>
      <c r="E71" t="s">
        <v>41</v>
      </c>
      <c r="F71" t="s">
        <v>26</v>
      </c>
      <c r="G71" t="s">
        <v>27</v>
      </c>
      <c r="H71" t="s">
        <v>141</v>
      </c>
      <c r="I71">
        <v>4</v>
      </c>
      <c r="J71">
        <v>46746</v>
      </c>
      <c r="K71">
        <v>0.15</v>
      </c>
      <c r="L71" t="s">
        <v>51</v>
      </c>
    </row>
    <row r="72" spans="1:12">
      <c r="A72" t="s">
        <v>234</v>
      </c>
      <c r="B72" t="s">
        <v>235</v>
      </c>
      <c r="C72" t="s">
        <v>54</v>
      </c>
      <c r="D72" t="s">
        <v>93</v>
      </c>
      <c r="E72" t="s">
        <v>33</v>
      </c>
      <c r="F72" t="s">
        <v>26</v>
      </c>
      <c r="G72" t="s">
        <v>27</v>
      </c>
      <c r="H72" t="s">
        <v>117</v>
      </c>
      <c r="I72">
        <v>7</v>
      </c>
      <c r="J72">
        <v>78992</v>
      </c>
      <c r="K72">
        <v>0.05</v>
      </c>
      <c r="L72" t="s">
        <v>51</v>
      </c>
    </row>
    <row r="73" spans="1:12">
      <c r="A73" t="s">
        <v>236</v>
      </c>
      <c r="B73" t="s">
        <v>237</v>
      </c>
      <c r="C73" t="s">
        <v>39</v>
      </c>
      <c r="D73" t="s">
        <v>71</v>
      </c>
      <c r="E73" t="s">
        <v>33</v>
      </c>
      <c r="F73" t="s">
        <v>94</v>
      </c>
      <c r="G73" t="s">
        <v>42</v>
      </c>
      <c r="H73" t="s">
        <v>43</v>
      </c>
      <c r="I73">
        <v>7</v>
      </c>
      <c r="J73">
        <v>1878</v>
      </c>
      <c r="K73">
        <v>0.08</v>
      </c>
      <c r="L73" t="s">
        <v>51</v>
      </c>
    </row>
    <row r="74" spans="1:12">
      <c r="A74" t="s">
        <v>238</v>
      </c>
      <c r="B74" t="s">
        <v>239</v>
      </c>
      <c r="C74" t="s">
        <v>89</v>
      </c>
      <c r="D74" t="s">
        <v>127</v>
      </c>
      <c r="E74" t="s">
        <v>25</v>
      </c>
      <c r="F74" t="s">
        <v>94</v>
      </c>
      <c r="G74" t="s">
        <v>61</v>
      </c>
      <c r="H74" t="s">
        <v>75</v>
      </c>
      <c r="I74">
        <v>8</v>
      </c>
      <c r="J74">
        <v>10720</v>
      </c>
      <c r="K74">
        <v>0</v>
      </c>
      <c r="L74" t="s">
        <v>36</v>
      </c>
    </row>
    <row r="75" spans="1:12">
      <c r="A75" t="s">
        <v>240</v>
      </c>
      <c r="B75" t="s">
        <v>100</v>
      </c>
      <c r="C75" t="s">
        <v>23</v>
      </c>
      <c r="D75" t="s">
        <v>97</v>
      </c>
      <c r="E75" t="s">
        <v>41</v>
      </c>
      <c r="F75" t="s">
        <v>26</v>
      </c>
      <c r="G75" t="s">
        <v>27</v>
      </c>
      <c r="H75" t="s">
        <v>28</v>
      </c>
      <c r="I75">
        <v>5</v>
      </c>
      <c r="J75">
        <v>56520</v>
      </c>
      <c r="K75">
        <v>0</v>
      </c>
      <c r="L75" t="s">
        <v>51</v>
      </c>
    </row>
    <row r="76" spans="1:12">
      <c r="A76" t="s">
        <v>241</v>
      </c>
      <c r="B76" t="s">
        <v>242</v>
      </c>
      <c r="C76" t="s">
        <v>70</v>
      </c>
      <c r="D76" t="s">
        <v>219</v>
      </c>
      <c r="E76" t="s">
        <v>25</v>
      </c>
      <c r="F76" t="s">
        <v>243</v>
      </c>
      <c r="G76" t="s">
        <v>27</v>
      </c>
      <c r="H76" t="s">
        <v>117</v>
      </c>
      <c r="I76">
        <v>7</v>
      </c>
      <c r="J76" t="s">
        <v>244</v>
      </c>
      <c r="K76">
        <v>0.08</v>
      </c>
      <c r="L76" t="s">
        <v>57</v>
      </c>
    </row>
    <row r="77" spans="1:12">
      <c r="A77" t="s">
        <v>245</v>
      </c>
      <c r="B77" t="s">
        <v>246</v>
      </c>
      <c r="C77" t="s">
        <v>46</v>
      </c>
      <c r="D77" t="s">
        <v>32</v>
      </c>
      <c r="E77" t="s">
        <v>25</v>
      </c>
      <c r="F77" t="s">
        <v>94</v>
      </c>
      <c r="G77" t="s">
        <v>61</v>
      </c>
      <c r="H77" t="s">
        <v>75</v>
      </c>
      <c r="I77">
        <v>5</v>
      </c>
      <c r="J77">
        <v>19053</v>
      </c>
      <c r="K77">
        <v>0.15</v>
      </c>
      <c r="L77" t="s">
        <v>51</v>
      </c>
    </row>
    <row r="78" spans="1:12">
      <c r="A78" t="s">
        <v>247</v>
      </c>
      <c r="B78" t="s">
        <v>248</v>
      </c>
      <c r="C78" t="s">
        <v>39</v>
      </c>
      <c r="D78" t="s">
        <v>71</v>
      </c>
      <c r="E78" t="s">
        <v>41</v>
      </c>
      <c r="F78" t="s">
        <v>48</v>
      </c>
      <c r="G78" t="s">
        <v>49</v>
      </c>
      <c r="H78" t="s">
        <v>249</v>
      </c>
      <c r="I78">
        <v>1</v>
      </c>
      <c r="J78">
        <v>2419</v>
      </c>
      <c r="K78">
        <v>0.1</v>
      </c>
      <c r="L78" t="s">
        <v>57</v>
      </c>
    </row>
    <row r="79" spans="1:12">
      <c r="A79" t="s">
        <v>250</v>
      </c>
      <c r="B79" t="s">
        <v>251</v>
      </c>
      <c r="C79" t="s">
        <v>23</v>
      </c>
      <c r="D79" t="s">
        <v>111</v>
      </c>
      <c r="E79" t="s">
        <v>25</v>
      </c>
      <c r="F79" t="s">
        <v>214</v>
      </c>
      <c r="G79" t="s">
        <v>34</v>
      </c>
      <c r="H79" t="s">
        <v>145</v>
      </c>
      <c r="I79">
        <v>2</v>
      </c>
      <c r="J79">
        <v>1224</v>
      </c>
      <c r="K79">
        <v>0</v>
      </c>
      <c r="L79" t="s">
        <v>29</v>
      </c>
    </row>
    <row r="80" spans="1:12">
      <c r="A80" t="s">
        <v>252</v>
      </c>
      <c r="B80" t="s">
        <v>253</v>
      </c>
      <c r="C80" t="s">
        <v>110</v>
      </c>
      <c r="D80" t="s">
        <v>135</v>
      </c>
      <c r="E80" t="s">
        <v>41</v>
      </c>
      <c r="F80" t="s">
        <v>26</v>
      </c>
      <c r="G80" t="s">
        <v>42</v>
      </c>
      <c r="H80" t="s">
        <v>43</v>
      </c>
      <c r="I80">
        <v>7</v>
      </c>
      <c r="J80">
        <v>1185</v>
      </c>
      <c r="K80">
        <v>0.1</v>
      </c>
      <c r="L80" t="s">
        <v>51</v>
      </c>
    </row>
    <row r="81" spans="1:12">
      <c r="A81" t="s">
        <v>254</v>
      </c>
      <c r="B81" t="s">
        <v>255</v>
      </c>
      <c r="C81" t="s">
        <v>89</v>
      </c>
      <c r="D81" t="s">
        <v>138</v>
      </c>
      <c r="E81" t="s">
        <v>41</v>
      </c>
      <c r="F81" t="s">
        <v>48</v>
      </c>
      <c r="G81" t="s">
        <v>42</v>
      </c>
      <c r="H81" t="s">
        <v>154</v>
      </c>
      <c r="I81">
        <v>1</v>
      </c>
      <c r="J81">
        <v>1113</v>
      </c>
      <c r="K81">
        <v>0.08</v>
      </c>
      <c r="L81" t="s">
        <v>57</v>
      </c>
    </row>
    <row r="82" spans="1:12">
      <c r="A82" t="s">
        <v>256</v>
      </c>
      <c r="B82" t="s">
        <v>257</v>
      </c>
      <c r="C82" t="s">
        <v>39</v>
      </c>
      <c r="D82" t="s">
        <v>24</v>
      </c>
      <c r="E82" t="s">
        <v>56</v>
      </c>
      <c r="F82" t="s">
        <v>94</v>
      </c>
      <c r="G82" t="s">
        <v>34</v>
      </c>
      <c r="H82" t="s">
        <v>35</v>
      </c>
      <c r="I82">
        <v>5</v>
      </c>
      <c r="J82">
        <v>3010</v>
      </c>
      <c r="K82">
        <v>0</v>
      </c>
      <c r="L82" t="s">
        <v>57</v>
      </c>
    </row>
    <row r="83" spans="1:12">
      <c r="A83" t="s">
        <v>258</v>
      </c>
      <c r="B83" t="s">
        <v>259</v>
      </c>
      <c r="C83" t="s">
        <v>54</v>
      </c>
      <c r="D83" t="s">
        <v>60</v>
      </c>
      <c r="E83" t="s">
        <v>41</v>
      </c>
      <c r="F83" t="s">
        <v>26</v>
      </c>
      <c r="G83" t="s">
        <v>61</v>
      </c>
      <c r="H83" t="s">
        <v>62</v>
      </c>
      <c r="I83">
        <v>3</v>
      </c>
      <c r="J83">
        <v>10888</v>
      </c>
      <c r="K83">
        <v>0.08</v>
      </c>
      <c r="L83" t="s">
        <v>51</v>
      </c>
    </row>
    <row r="84" spans="1:12">
      <c r="A84" t="s">
        <v>260</v>
      </c>
      <c r="B84" t="s">
        <v>261</v>
      </c>
      <c r="C84" t="s">
        <v>110</v>
      </c>
      <c r="D84" t="s">
        <v>125</v>
      </c>
      <c r="E84" t="s">
        <v>41</v>
      </c>
      <c r="F84" t="s">
        <v>94</v>
      </c>
      <c r="G84" t="s">
        <v>61</v>
      </c>
      <c r="H84" t="s">
        <v>62</v>
      </c>
      <c r="I84">
        <v>2</v>
      </c>
      <c r="J84">
        <v>18934</v>
      </c>
      <c r="K84">
        <v>0.15</v>
      </c>
      <c r="L84" t="s">
        <v>29</v>
      </c>
    </row>
    <row r="85" spans="1:12">
      <c r="A85" t="s">
        <v>262</v>
      </c>
      <c r="B85" t="s">
        <v>263</v>
      </c>
      <c r="C85" t="s">
        <v>70</v>
      </c>
      <c r="D85" t="s">
        <v>159</v>
      </c>
      <c r="E85" t="s">
        <v>25</v>
      </c>
      <c r="F85" t="s">
        <v>48</v>
      </c>
      <c r="G85" t="s">
        <v>61</v>
      </c>
      <c r="H85" t="s">
        <v>62</v>
      </c>
      <c r="I85">
        <v>5</v>
      </c>
      <c r="J85">
        <v>10498</v>
      </c>
      <c r="K85">
        <v>0.1</v>
      </c>
      <c r="L85" t="s">
        <v>57</v>
      </c>
    </row>
    <row r="86" spans="1:12">
      <c r="A86" t="s">
        <v>264</v>
      </c>
      <c r="B86" t="s">
        <v>265</v>
      </c>
      <c r="C86" t="s">
        <v>70</v>
      </c>
      <c r="D86" t="s">
        <v>71</v>
      </c>
      <c r="E86" t="s">
        <v>25</v>
      </c>
      <c r="F86" t="s">
        <v>48</v>
      </c>
      <c r="G86" t="s">
        <v>61</v>
      </c>
      <c r="H86" t="s">
        <v>90</v>
      </c>
      <c r="I86">
        <v>2</v>
      </c>
      <c r="J86">
        <v>26764</v>
      </c>
      <c r="K86" t="s">
        <v>122</v>
      </c>
      <c r="L86" t="s">
        <v>51</v>
      </c>
    </row>
    <row r="87" spans="1:12">
      <c r="A87" t="s">
        <v>266</v>
      </c>
      <c r="B87" t="s">
        <v>267</v>
      </c>
      <c r="C87" t="s">
        <v>39</v>
      </c>
      <c r="D87" t="s">
        <v>138</v>
      </c>
      <c r="E87" t="s">
        <v>41</v>
      </c>
      <c r="F87" t="s">
        <v>94</v>
      </c>
      <c r="G87" t="s">
        <v>42</v>
      </c>
      <c r="H87" t="s">
        <v>67</v>
      </c>
      <c r="I87">
        <v>7</v>
      </c>
      <c r="J87">
        <v>770</v>
      </c>
      <c r="K87">
        <v>0.02</v>
      </c>
      <c r="L87" t="s">
        <v>51</v>
      </c>
    </row>
    <row r="88" spans="1:12">
      <c r="A88" t="s">
        <v>268</v>
      </c>
      <c r="B88" t="s">
        <v>174</v>
      </c>
      <c r="C88" t="s">
        <v>70</v>
      </c>
      <c r="D88" t="s">
        <v>269</v>
      </c>
      <c r="E88" t="s">
        <v>25</v>
      </c>
      <c r="F88" t="s">
        <v>48</v>
      </c>
      <c r="G88" t="s">
        <v>27</v>
      </c>
      <c r="H88" t="s">
        <v>28</v>
      </c>
      <c r="I88">
        <v>1</v>
      </c>
      <c r="J88">
        <v>69855</v>
      </c>
      <c r="K88">
        <v>0.15</v>
      </c>
      <c r="L88" t="s">
        <v>51</v>
      </c>
    </row>
    <row r="89" spans="1:12">
      <c r="A89" t="s">
        <v>270</v>
      </c>
      <c r="B89" t="s">
        <v>259</v>
      </c>
      <c r="C89" t="s">
        <v>70</v>
      </c>
      <c r="D89" t="s">
        <v>66</v>
      </c>
      <c r="E89" t="s">
        <v>41</v>
      </c>
      <c r="F89" t="s">
        <v>48</v>
      </c>
      <c r="G89" t="s">
        <v>34</v>
      </c>
      <c r="H89" t="s">
        <v>35</v>
      </c>
      <c r="I89">
        <v>3</v>
      </c>
      <c r="J89">
        <v>4462</v>
      </c>
      <c r="K89">
        <v>0.1</v>
      </c>
      <c r="L89" t="s">
        <v>51</v>
      </c>
    </row>
    <row r="90" spans="1:12">
      <c r="A90" t="s">
        <v>271</v>
      </c>
      <c r="B90" t="s">
        <v>272</v>
      </c>
      <c r="C90" t="s">
        <v>70</v>
      </c>
      <c r="D90" t="s">
        <v>111</v>
      </c>
      <c r="E90" t="s">
        <v>25</v>
      </c>
      <c r="F90" t="s">
        <v>48</v>
      </c>
      <c r="G90" t="s">
        <v>42</v>
      </c>
      <c r="H90" t="s">
        <v>43</v>
      </c>
      <c r="I90">
        <v>7</v>
      </c>
      <c r="J90" t="s">
        <v>244</v>
      </c>
      <c r="K90">
        <v>0.08</v>
      </c>
      <c r="L90" t="s">
        <v>51</v>
      </c>
    </row>
    <row r="91" spans="1:12">
      <c r="A91" t="s">
        <v>273</v>
      </c>
      <c r="B91" t="s">
        <v>274</v>
      </c>
      <c r="C91" t="s">
        <v>23</v>
      </c>
      <c r="D91" t="s">
        <v>60</v>
      </c>
      <c r="E91" t="s">
        <v>56</v>
      </c>
      <c r="F91" t="s">
        <v>94</v>
      </c>
      <c r="G91" t="s">
        <v>34</v>
      </c>
      <c r="H91" t="s">
        <v>35</v>
      </c>
      <c r="I91">
        <v>7</v>
      </c>
      <c r="J91">
        <v>4730</v>
      </c>
      <c r="K91">
        <v>0</v>
      </c>
      <c r="L91" t="s">
        <v>51</v>
      </c>
    </row>
    <row r="92" spans="1:12">
      <c r="A92" t="s">
        <v>275</v>
      </c>
      <c r="B92" t="s">
        <v>122</v>
      </c>
      <c r="C92" t="s">
        <v>54</v>
      </c>
      <c r="D92" t="s">
        <v>209</v>
      </c>
      <c r="E92" t="s">
        <v>33</v>
      </c>
      <c r="F92" t="s">
        <v>26</v>
      </c>
      <c r="G92" t="s">
        <v>34</v>
      </c>
      <c r="H92" t="s">
        <v>98</v>
      </c>
      <c r="I92">
        <v>7</v>
      </c>
      <c r="J92">
        <v>2569</v>
      </c>
      <c r="K92">
        <v>0.05</v>
      </c>
      <c r="L92" t="s">
        <v>29</v>
      </c>
    </row>
    <row r="93" spans="1:12">
      <c r="A93" t="s">
        <v>276</v>
      </c>
      <c r="B93" t="s">
        <v>277</v>
      </c>
      <c r="C93" t="s">
        <v>74</v>
      </c>
      <c r="D93" t="s">
        <v>79</v>
      </c>
      <c r="E93" t="s">
        <v>41</v>
      </c>
      <c r="F93" t="s">
        <v>94</v>
      </c>
      <c r="G93" t="s">
        <v>49</v>
      </c>
      <c r="H93" t="s">
        <v>249</v>
      </c>
      <c r="I93">
        <v>7</v>
      </c>
      <c r="J93">
        <v>2955</v>
      </c>
      <c r="K93">
        <v>0.05</v>
      </c>
      <c r="L93" t="s">
        <v>51</v>
      </c>
    </row>
    <row r="94" spans="1:12">
      <c r="A94" t="s">
        <v>278</v>
      </c>
      <c r="B94" t="s">
        <v>85</v>
      </c>
      <c r="C94" t="s">
        <v>70</v>
      </c>
      <c r="D94" t="s">
        <v>135</v>
      </c>
      <c r="E94" t="s">
        <v>33</v>
      </c>
      <c r="F94" t="s">
        <v>94</v>
      </c>
      <c r="G94" t="s">
        <v>34</v>
      </c>
      <c r="H94" t="s">
        <v>145</v>
      </c>
      <c r="I94">
        <v>4</v>
      </c>
      <c r="J94">
        <v>2340</v>
      </c>
      <c r="K94">
        <v>0.05</v>
      </c>
      <c r="L94" t="s">
        <v>36</v>
      </c>
    </row>
    <row r="95" spans="1:12">
      <c r="A95" t="s">
        <v>279</v>
      </c>
      <c r="B95" t="s">
        <v>183</v>
      </c>
      <c r="C95" t="s">
        <v>110</v>
      </c>
      <c r="D95" t="s">
        <v>200</v>
      </c>
      <c r="E95" t="s">
        <v>33</v>
      </c>
      <c r="F95" t="s">
        <v>26</v>
      </c>
      <c r="G95" t="s">
        <v>61</v>
      </c>
      <c r="H95" t="s">
        <v>90</v>
      </c>
      <c r="I95">
        <v>2</v>
      </c>
      <c r="J95">
        <v>10451</v>
      </c>
      <c r="K95">
        <v>0</v>
      </c>
      <c r="L95" t="s">
        <v>51</v>
      </c>
    </row>
    <row r="96" spans="1:12">
      <c r="A96" t="s">
        <v>280</v>
      </c>
      <c r="B96" t="s">
        <v>193</v>
      </c>
      <c r="C96" t="s">
        <v>281</v>
      </c>
      <c r="D96" t="s">
        <v>40</v>
      </c>
      <c r="E96" t="s">
        <v>25</v>
      </c>
      <c r="F96" t="s">
        <v>48</v>
      </c>
      <c r="G96" t="s">
        <v>42</v>
      </c>
      <c r="H96" t="s">
        <v>67</v>
      </c>
      <c r="I96">
        <v>8</v>
      </c>
      <c r="J96">
        <v>2494</v>
      </c>
      <c r="K96">
        <v>0.05</v>
      </c>
      <c r="L96" t="s">
        <v>51</v>
      </c>
    </row>
    <row r="97" spans="1:12">
      <c r="A97" t="s">
        <v>282</v>
      </c>
      <c r="B97" t="s">
        <v>242</v>
      </c>
      <c r="C97" t="s">
        <v>23</v>
      </c>
      <c r="D97" t="s">
        <v>138</v>
      </c>
      <c r="E97" t="s">
        <v>33</v>
      </c>
      <c r="F97" t="s">
        <v>94</v>
      </c>
      <c r="G97" t="s">
        <v>42</v>
      </c>
      <c r="H97" t="s">
        <v>43</v>
      </c>
      <c r="I97">
        <v>4</v>
      </c>
      <c r="J97">
        <v>2292</v>
      </c>
      <c r="K97">
        <v>0.02</v>
      </c>
      <c r="L97" t="s">
        <v>51</v>
      </c>
    </row>
    <row r="98" spans="1:12">
      <c r="A98" t="s">
        <v>283</v>
      </c>
      <c r="B98" t="s">
        <v>284</v>
      </c>
      <c r="C98" t="s">
        <v>39</v>
      </c>
      <c r="D98" t="s">
        <v>285</v>
      </c>
      <c r="E98" t="s">
        <v>25</v>
      </c>
      <c r="F98" t="s">
        <v>94</v>
      </c>
      <c r="G98" t="s">
        <v>34</v>
      </c>
      <c r="H98" t="s">
        <v>98</v>
      </c>
      <c r="I98">
        <v>4</v>
      </c>
      <c r="J98">
        <v>2297</v>
      </c>
      <c r="K98">
        <v>0.05</v>
      </c>
      <c r="L98" t="s">
        <v>51</v>
      </c>
    </row>
    <row r="99" spans="1:12">
      <c r="A99" t="s">
        <v>286</v>
      </c>
      <c r="B99" t="s">
        <v>287</v>
      </c>
      <c r="C99" t="s">
        <v>74</v>
      </c>
      <c r="D99" t="s">
        <v>125</v>
      </c>
      <c r="E99" t="s">
        <v>25</v>
      </c>
      <c r="F99" t="s">
        <v>48</v>
      </c>
      <c r="G99" t="s">
        <v>42</v>
      </c>
      <c r="H99" t="s">
        <v>67</v>
      </c>
      <c r="I99">
        <v>7</v>
      </c>
      <c r="J99">
        <v>3374</v>
      </c>
      <c r="K99">
        <v>0.15</v>
      </c>
      <c r="L99" t="s">
        <v>29</v>
      </c>
    </row>
    <row r="100" spans="1:12">
      <c r="A100" t="s">
        <v>288</v>
      </c>
      <c r="B100" t="s">
        <v>289</v>
      </c>
      <c r="C100" t="s">
        <v>110</v>
      </c>
      <c r="D100" t="s">
        <v>200</v>
      </c>
      <c r="E100" t="s">
        <v>41</v>
      </c>
      <c r="F100" t="s">
        <v>48</v>
      </c>
      <c r="G100" t="s">
        <v>27</v>
      </c>
      <c r="H100" t="s">
        <v>141</v>
      </c>
      <c r="I100">
        <v>7</v>
      </c>
      <c r="J100">
        <v>80523</v>
      </c>
      <c r="K100">
        <v>0</v>
      </c>
      <c r="L100" t="s">
        <v>36</v>
      </c>
    </row>
    <row r="101" spans="1:12">
      <c r="A101" t="s">
        <v>290</v>
      </c>
      <c r="B101" t="s">
        <v>291</v>
      </c>
      <c r="C101" t="s">
        <v>46</v>
      </c>
      <c r="D101" t="s">
        <v>66</v>
      </c>
      <c r="E101" t="s">
        <v>33</v>
      </c>
      <c r="F101" t="s">
        <v>48</v>
      </c>
      <c r="G101" t="s">
        <v>49</v>
      </c>
      <c r="H101" t="s">
        <v>249</v>
      </c>
      <c r="I101">
        <v>3</v>
      </c>
      <c r="J101">
        <v>3802</v>
      </c>
      <c r="K101">
        <v>0.05</v>
      </c>
      <c r="L101" t="s">
        <v>36</v>
      </c>
    </row>
    <row r="102" spans="1:12">
      <c r="A102" t="s">
        <v>292</v>
      </c>
      <c r="B102" t="s">
        <v>122</v>
      </c>
      <c r="C102" t="s">
        <v>23</v>
      </c>
      <c r="D102" t="s">
        <v>269</v>
      </c>
      <c r="E102" t="s">
        <v>33</v>
      </c>
      <c r="F102" t="s">
        <v>94</v>
      </c>
      <c r="G102" t="s">
        <v>61</v>
      </c>
      <c r="H102" t="s">
        <v>90</v>
      </c>
      <c r="I102">
        <v>7</v>
      </c>
      <c r="J102">
        <v>13658</v>
      </c>
      <c r="K102">
        <v>0.08</v>
      </c>
      <c r="L102" t="s">
        <v>51</v>
      </c>
    </row>
    <row r="103" spans="1:12">
      <c r="A103" t="s">
        <v>293</v>
      </c>
      <c r="B103" t="s">
        <v>294</v>
      </c>
      <c r="C103" t="s">
        <v>39</v>
      </c>
      <c r="D103" t="s">
        <v>269</v>
      </c>
      <c r="E103" t="s">
        <v>41</v>
      </c>
      <c r="F103" t="s">
        <v>243</v>
      </c>
      <c r="G103" t="s">
        <v>27</v>
      </c>
      <c r="H103" t="s">
        <v>117</v>
      </c>
      <c r="I103">
        <v>6</v>
      </c>
      <c r="J103">
        <v>59275</v>
      </c>
      <c r="K103">
        <v>0.05</v>
      </c>
      <c r="L103" t="s">
        <v>51</v>
      </c>
    </row>
    <row r="104" spans="1:12">
      <c r="A104" t="s">
        <v>295</v>
      </c>
      <c r="B104" t="s">
        <v>122</v>
      </c>
      <c r="C104" t="s">
        <v>78</v>
      </c>
      <c r="D104" t="s">
        <v>82</v>
      </c>
      <c r="E104" t="s">
        <v>33</v>
      </c>
      <c r="F104" t="s">
        <v>48</v>
      </c>
      <c r="G104" t="s">
        <v>61</v>
      </c>
      <c r="H104" t="s">
        <v>90</v>
      </c>
      <c r="I104">
        <v>5</v>
      </c>
      <c r="J104">
        <v>17979</v>
      </c>
      <c r="K104" t="s">
        <v>122</v>
      </c>
      <c r="L104" t="s">
        <v>51</v>
      </c>
    </row>
    <row r="105" spans="1:12">
      <c r="A105" t="s">
        <v>296</v>
      </c>
      <c r="B105" t="s">
        <v>297</v>
      </c>
      <c r="C105" t="s">
        <v>54</v>
      </c>
      <c r="D105" t="s">
        <v>114</v>
      </c>
      <c r="E105" t="s">
        <v>25</v>
      </c>
      <c r="F105" t="s">
        <v>26</v>
      </c>
      <c r="G105" t="s">
        <v>34</v>
      </c>
      <c r="H105" t="s">
        <v>35</v>
      </c>
      <c r="I105">
        <v>2</v>
      </c>
      <c r="J105">
        <v>1780</v>
      </c>
      <c r="K105">
        <v>0.15</v>
      </c>
      <c r="L105" t="s">
        <v>51</v>
      </c>
    </row>
    <row r="106" spans="1:12">
      <c r="A106" t="s">
        <v>298</v>
      </c>
      <c r="B106" t="s">
        <v>299</v>
      </c>
      <c r="C106" t="s">
        <v>23</v>
      </c>
      <c r="D106" t="s">
        <v>32</v>
      </c>
      <c r="E106" t="s">
        <v>33</v>
      </c>
      <c r="F106" t="s">
        <v>184</v>
      </c>
      <c r="G106" t="s">
        <v>61</v>
      </c>
      <c r="H106" t="s">
        <v>75</v>
      </c>
      <c r="I106">
        <v>6</v>
      </c>
      <c r="J106">
        <v>13035</v>
      </c>
      <c r="K106">
        <v>0.02</v>
      </c>
      <c r="L106" t="s">
        <v>51</v>
      </c>
    </row>
    <row r="107" spans="1:12">
      <c r="A107" t="s">
        <v>300</v>
      </c>
      <c r="B107" t="s">
        <v>301</v>
      </c>
      <c r="C107" t="s">
        <v>70</v>
      </c>
      <c r="D107" t="s">
        <v>302</v>
      </c>
      <c r="E107" t="s">
        <v>41</v>
      </c>
      <c r="F107" t="s">
        <v>243</v>
      </c>
      <c r="G107" t="s">
        <v>42</v>
      </c>
      <c r="H107" t="s">
        <v>43</v>
      </c>
      <c r="I107">
        <v>6</v>
      </c>
      <c r="J107">
        <v>2863</v>
      </c>
      <c r="K107">
        <v>0.05</v>
      </c>
      <c r="L107" t="s">
        <v>51</v>
      </c>
    </row>
    <row r="108" spans="1:12">
      <c r="A108" t="s">
        <v>303</v>
      </c>
      <c r="B108" t="s">
        <v>183</v>
      </c>
      <c r="C108" t="s">
        <v>39</v>
      </c>
      <c r="D108" t="s">
        <v>114</v>
      </c>
      <c r="E108" t="s">
        <v>33</v>
      </c>
      <c r="F108" t="s">
        <v>26</v>
      </c>
      <c r="G108" t="s">
        <v>42</v>
      </c>
      <c r="H108" t="s">
        <v>43</v>
      </c>
      <c r="I108">
        <v>5</v>
      </c>
      <c r="J108">
        <v>1836</v>
      </c>
      <c r="K108">
        <v>0</v>
      </c>
      <c r="L108" t="s">
        <v>57</v>
      </c>
    </row>
    <row r="109" spans="1:12">
      <c r="A109" t="s">
        <v>304</v>
      </c>
      <c r="B109" t="s">
        <v>305</v>
      </c>
      <c r="C109" t="s">
        <v>46</v>
      </c>
      <c r="D109" t="s">
        <v>82</v>
      </c>
      <c r="E109" t="s">
        <v>41</v>
      </c>
      <c r="F109" t="s">
        <v>48</v>
      </c>
      <c r="G109" t="s">
        <v>49</v>
      </c>
      <c r="H109" t="s">
        <v>249</v>
      </c>
      <c r="I109">
        <v>1</v>
      </c>
      <c r="J109">
        <v>7246</v>
      </c>
      <c r="K109">
        <v>0.02</v>
      </c>
      <c r="L109" t="s">
        <v>29</v>
      </c>
    </row>
    <row r="110" spans="1:12">
      <c r="A110" t="s">
        <v>306</v>
      </c>
      <c r="B110" t="s">
        <v>307</v>
      </c>
      <c r="C110" t="s">
        <v>308</v>
      </c>
      <c r="D110" t="s">
        <v>40</v>
      </c>
      <c r="E110" t="s">
        <v>25</v>
      </c>
      <c r="F110" t="s">
        <v>94</v>
      </c>
      <c r="G110" t="s">
        <v>34</v>
      </c>
      <c r="H110" t="s">
        <v>35</v>
      </c>
      <c r="I110">
        <v>2</v>
      </c>
      <c r="J110">
        <v>4212</v>
      </c>
      <c r="K110">
        <v>0.1</v>
      </c>
      <c r="L110" t="s">
        <v>36</v>
      </c>
    </row>
    <row r="111" spans="1:12">
      <c r="A111" t="s">
        <v>309</v>
      </c>
      <c r="B111" t="s">
        <v>310</v>
      </c>
      <c r="C111" t="s">
        <v>89</v>
      </c>
      <c r="D111" t="s">
        <v>219</v>
      </c>
      <c r="E111" t="s">
        <v>41</v>
      </c>
      <c r="F111" t="s">
        <v>94</v>
      </c>
      <c r="G111" t="s">
        <v>42</v>
      </c>
      <c r="H111" t="s">
        <v>154</v>
      </c>
      <c r="I111">
        <v>1</v>
      </c>
      <c r="J111">
        <v>1189</v>
      </c>
      <c r="K111">
        <v>0.02</v>
      </c>
      <c r="L111" t="s">
        <v>51</v>
      </c>
    </row>
    <row r="112" spans="1:12">
      <c r="A112" t="s">
        <v>311</v>
      </c>
      <c r="B112" t="s">
        <v>312</v>
      </c>
      <c r="C112" t="s">
        <v>65</v>
      </c>
      <c r="D112" t="s">
        <v>127</v>
      </c>
      <c r="E112" t="s">
        <v>33</v>
      </c>
      <c r="F112" t="s">
        <v>48</v>
      </c>
      <c r="G112" t="s">
        <v>61</v>
      </c>
      <c r="H112" t="s">
        <v>90</v>
      </c>
      <c r="I112">
        <v>6</v>
      </c>
      <c r="J112">
        <v>9208</v>
      </c>
      <c r="K112">
        <v>0.15</v>
      </c>
      <c r="L112" t="s">
        <v>36</v>
      </c>
    </row>
    <row r="113" spans="1:12">
      <c r="A113" t="s">
        <v>313</v>
      </c>
      <c r="B113" t="s">
        <v>314</v>
      </c>
      <c r="C113" t="s">
        <v>70</v>
      </c>
      <c r="D113" t="s">
        <v>219</v>
      </c>
      <c r="E113" t="s">
        <v>41</v>
      </c>
      <c r="F113" t="s">
        <v>94</v>
      </c>
      <c r="G113" t="s">
        <v>49</v>
      </c>
      <c r="H113" t="s">
        <v>83</v>
      </c>
      <c r="I113">
        <v>7</v>
      </c>
      <c r="J113">
        <v>2593</v>
      </c>
      <c r="K113">
        <v>0</v>
      </c>
      <c r="L113" t="s">
        <v>57</v>
      </c>
    </row>
    <row r="114" spans="1:12">
      <c r="A114" t="s">
        <v>315</v>
      </c>
      <c r="B114" t="s">
        <v>316</v>
      </c>
      <c r="C114" t="s">
        <v>110</v>
      </c>
      <c r="D114" t="s">
        <v>302</v>
      </c>
      <c r="E114" t="s">
        <v>25</v>
      </c>
      <c r="F114" t="s">
        <v>26</v>
      </c>
      <c r="G114" t="s">
        <v>27</v>
      </c>
      <c r="H114" t="s">
        <v>28</v>
      </c>
      <c r="I114">
        <v>2</v>
      </c>
      <c r="J114">
        <v>55772</v>
      </c>
      <c r="K114">
        <v>0.1</v>
      </c>
      <c r="L114" t="s">
        <v>51</v>
      </c>
    </row>
    <row r="115" spans="1:12">
      <c r="A115" t="s">
        <v>317</v>
      </c>
      <c r="B115" t="s">
        <v>318</v>
      </c>
      <c r="C115" t="s">
        <v>110</v>
      </c>
      <c r="D115" t="s">
        <v>191</v>
      </c>
      <c r="E115" t="s">
        <v>41</v>
      </c>
      <c r="F115" t="s">
        <v>26</v>
      </c>
      <c r="G115" t="s">
        <v>34</v>
      </c>
      <c r="H115" t="s">
        <v>35</v>
      </c>
      <c r="I115">
        <v>2</v>
      </c>
      <c r="J115">
        <v>3246</v>
      </c>
      <c r="K115">
        <v>0.02</v>
      </c>
      <c r="L115" t="s">
        <v>51</v>
      </c>
    </row>
    <row r="116" spans="1:12">
      <c r="A116" t="s">
        <v>319</v>
      </c>
      <c r="B116" t="s">
        <v>320</v>
      </c>
      <c r="C116" t="s">
        <v>70</v>
      </c>
      <c r="D116" t="s">
        <v>138</v>
      </c>
      <c r="E116" t="s">
        <v>25</v>
      </c>
      <c r="F116" t="s">
        <v>94</v>
      </c>
      <c r="G116" t="s">
        <v>34</v>
      </c>
      <c r="H116" t="s">
        <v>35</v>
      </c>
      <c r="I116">
        <v>7</v>
      </c>
      <c r="J116">
        <v>2576</v>
      </c>
      <c r="K116">
        <v>0.08</v>
      </c>
      <c r="L116" t="s">
        <v>51</v>
      </c>
    </row>
    <row r="117" spans="1:12">
      <c r="A117" t="s">
        <v>321</v>
      </c>
      <c r="B117" t="s">
        <v>322</v>
      </c>
      <c r="C117" t="s">
        <v>54</v>
      </c>
      <c r="D117" t="s">
        <v>127</v>
      </c>
      <c r="E117" t="s">
        <v>41</v>
      </c>
      <c r="F117" t="s">
        <v>48</v>
      </c>
      <c r="G117" t="s">
        <v>61</v>
      </c>
      <c r="H117" t="s">
        <v>62</v>
      </c>
      <c r="I117">
        <v>6</v>
      </c>
      <c r="J117">
        <v>17164</v>
      </c>
      <c r="K117">
        <v>0.08</v>
      </c>
      <c r="L117" t="s">
        <v>57</v>
      </c>
    </row>
    <row r="118" spans="1:12">
      <c r="A118" t="s">
        <v>323</v>
      </c>
      <c r="B118" t="s">
        <v>324</v>
      </c>
      <c r="C118" t="s">
        <v>54</v>
      </c>
      <c r="D118" t="s">
        <v>127</v>
      </c>
      <c r="E118" t="s">
        <v>194</v>
      </c>
      <c r="F118" t="s">
        <v>26</v>
      </c>
      <c r="G118" t="s">
        <v>61</v>
      </c>
      <c r="H118" t="s">
        <v>75</v>
      </c>
      <c r="I118">
        <v>7</v>
      </c>
      <c r="J118">
        <v>17733</v>
      </c>
      <c r="K118">
        <v>0.05</v>
      </c>
      <c r="L118" t="s">
        <v>51</v>
      </c>
    </row>
    <row r="119" spans="1:12">
      <c r="A119" t="s">
        <v>325</v>
      </c>
      <c r="B119" t="s">
        <v>326</v>
      </c>
      <c r="C119" t="s">
        <v>65</v>
      </c>
      <c r="D119" t="s">
        <v>125</v>
      </c>
      <c r="E119" t="s">
        <v>33</v>
      </c>
      <c r="F119" t="s">
        <v>48</v>
      </c>
      <c r="G119" t="s">
        <v>27</v>
      </c>
      <c r="H119" t="s">
        <v>28</v>
      </c>
      <c r="I119">
        <v>4</v>
      </c>
      <c r="J119">
        <v>46306</v>
      </c>
      <c r="K119">
        <v>0.02</v>
      </c>
      <c r="L119" t="s">
        <v>51</v>
      </c>
    </row>
    <row r="120" spans="1:12">
      <c r="A120" t="s">
        <v>327</v>
      </c>
      <c r="B120" t="s">
        <v>143</v>
      </c>
      <c r="C120" t="s">
        <v>46</v>
      </c>
      <c r="D120" t="s">
        <v>209</v>
      </c>
      <c r="E120" t="s">
        <v>33</v>
      </c>
      <c r="F120" t="s">
        <v>94</v>
      </c>
      <c r="G120" t="s">
        <v>42</v>
      </c>
      <c r="H120" t="s">
        <v>154</v>
      </c>
      <c r="I120">
        <v>3</v>
      </c>
      <c r="J120">
        <v>1614</v>
      </c>
      <c r="K120">
        <v>0.08</v>
      </c>
      <c r="L120" t="s">
        <v>51</v>
      </c>
    </row>
    <row r="121" spans="1:12">
      <c r="A121" t="s">
        <v>328</v>
      </c>
      <c r="B121" t="s">
        <v>329</v>
      </c>
      <c r="C121" t="s">
        <v>110</v>
      </c>
      <c r="D121" t="s">
        <v>219</v>
      </c>
      <c r="E121" t="s">
        <v>25</v>
      </c>
      <c r="F121" t="s">
        <v>48</v>
      </c>
      <c r="G121" t="s">
        <v>27</v>
      </c>
      <c r="H121" t="s">
        <v>28</v>
      </c>
      <c r="I121">
        <v>6</v>
      </c>
      <c r="J121">
        <v>65939</v>
      </c>
      <c r="K121">
        <v>0.08</v>
      </c>
      <c r="L121" t="s">
        <v>51</v>
      </c>
    </row>
    <row r="122" spans="1:12">
      <c r="A122" t="s">
        <v>330</v>
      </c>
      <c r="B122" t="s">
        <v>172</v>
      </c>
      <c r="C122" t="s">
        <v>23</v>
      </c>
      <c r="D122" t="s">
        <v>66</v>
      </c>
      <c r="E122" t="s">
        <v>25</v>
      </c>
      <c r="F122" t="s">
        <v>26</v>
      </c>
      <c r="G122" t="s">
        <v>49</v>
      </c>
      <c r="H122" t="s">
        <v>50</v>
      </c>
      <c r="I122">
        <v>1</v>
      </c>
      <c r="J122">
        <v>3915</v>
      </c>
      <c r="K122">
        <v>0.05</v>
      </c>
      <c r="L122" t="s">
        <v>51</v>
      </c>
    </row>
    <row r="123" spans="1:12">
      <c r="A123" t="s">
        <v>331</v>
      </c>
      <c r="B123" t="s">
        <v>332</v>
      </c>
      <c r="C123" t="s">
        <v>281</v>
      </c>
      <c r="D123" t="s">
        <v>302</v>
      </c>
      <c r="E123" t="s">
        <v>41</v>
      </c>
      <c r="F123" t="s">
        <v>214</v>
      </c>
      <c r="G123" t="s">
        <v>61</v>
      </c>
      <c r="H123" t="s">
        <v>75</v>
      </c>
      <c r="I123">
        <v>5</v>
      </c>
      <c r="J123">
        <v>15735</v>
      </c>
      <c r="K123">
        <v>0.15</v>
      </c>
      <c r="L123" t="s">
        <v>51</v>
      </c>
    </row>
    <row r="124" spans="1:12">
      <c r="A124" t="s">
        <v>333</v>
      </c>
      <c r="B124" t="s">
        <v>223</v>
      </c>
      <c r="C124" t="s">
        <v>54</v>
      </c>
      <c r="D124" t="s">
        <v>79</v>
      </c>
      <c r="E124" t="s">
        <v>56</v>
      </c>
      <c r="F124" t="s">
        <v>94</v>
      </c>
      <c r="G124" t="s">
        <v>42</v>
      </c>
      <c r="H124" t="s">
        <v>67</v>
      </c>
      <c r="I124">
        <v>2</v>
      </c>
      <c r="J124">
        <v>3407</v>
      </c>
      <c r="K124">
        <v>0.15</v>
      </c>
      <c r="L124" t="s">
        <v>57</v>
      </c>
    </row>
    <row r="125" spans="1:12">
      <c r="A125" t="s">
        <v>334</v>
      </c>
      <c r="B125" t="s">
        <v>335</v>
      </c>
      <c r="C125" t="s">
        <v>23</v>
      </c>
      <c r="D125" t="s">
        <v>191</v>
      </c>
      <c r="E125" t="s">
        <v>25</v>
      </c>
      <c r="F125" t="s">
        <v>26</v>
      </c>
      <c r="G125" t="s">
        <v>49</v>
      </c>
      <c r="H125" t="s">
        <v>249</v>
      </c>
      <c r="I125">
        <v>8</v>
      </c>
      <c r="J125">
        <v>7128</v>
      </c>
      <c r="K125">
        <v>0.1</v>
      </c>
      <c r="L125" t="s">
        <v>51</v>
      </c>
    </row>
    <row r="126" spans="1:12">
      <c r="A126" t="s">
        <v>336</v>
      </c>
      <c r="B126" t="s">
        <v>337</v>
      </c>
      <c r="C126" t="s">
        <v>54</v>
      </c>
      <c r="D126" t="s">
        <v>269</v>
      </c>
      <c r="E126" t="s">
        <v>25</v>
      </c>
      <c r="F126" t="s">
        <v>26</v>
      </c>
      <c r="G126" t="s">
        <v>42</v>
      </c>
      <c r="H126" t="s">
        <v>67</v>
      </c>
      <c r="I126">
        <v>2</v>
      </c>
      <c r="J126">
        <v>2009</v>
      </c>
      <c r="K126">
        <v>0</v>
      </c>
      <c r="L126" t="s">
        <v>29</v>
      </c>
    </row>
    <row r="127" spans="1:12">
      <c r="A127" t="s">
        <v>338</v>
      </c>
      <c r="B127" t="s">
        <v>208</v>
      </c>
      <c r="C127" t="s">
        <v>39</v>
      </c>
      <c r="D127" t="s">
        <v>200</v>
      </c>
      <c r="E127" t="s">
        <v>56</v>
      </c>
      <c r="F127" t="s">
        <v>94</v>
      </c>
      <c r="G127" t="s">
        <v>27</v>
      </c>
      <c r="H127" t="s">
        <v>141</v>
      </c>
      <c r="I127">
        <v>8</v>
      </c>
      <c r="J127">
        <v>71928</v>
      </c>
      <c r="K127">
        <v>0</v>
      </c>
      <c r="L127" t="s">
        <v>51</v>
      </c>
    </row>
    <row r="128" spans="1:12">
      <c r="A128" t="s">
        <v>339</v>
      </c>
      <c r="B128" t="s">
        <v>340</v>
      </c>
      <c r="C128" t="s">
        <v>74</v>
      </c>
      <c r="D128" t="s">
        <v>60</v>
      </c>
      <c r="E128" t="s">
        <v>33</v>
      </c>
      <c r="F128" t="s">
        <v>26</v>
      </c>
      <c r="G128" t="s">
        <v>27</v>
      </c>
      <c r="H128" t="s">
        <v>28</v>
      </c>
      <c r="I128">
        <v>7</v>
      </c>
      <c r="J128">
        <v>64692</v>
      </c>
      <c r="K128">
        <v>0.1</v>
      </c>
      <c r="L128" t="s">
        <v>36</v>
      </c>
    </row>
    <row r="129" spans="1:12">
      <c r="A129" t="s">
        <v>341</v>
      </c>
      <c r="B129" t="s">
        <v>342</v>
      </c>
      <c r="C129" t="s">
        <v>74</v>
      </c>
      <c r="D129" t="s">
        <v>66</v>
      </c>
      <c r="E129" t="s">
        <v>25</v>
      </c>
      <c r="F129" t="s">
        <v>48</v>
      </c>
      <c r="G129" t="s">
        <v>61</v>
      </c>
      <c r="H129" t="s">
        <v>75</v>
      </c>
      <c r="I129">
        <v>6</v>
      </c>
      <c r="J129">
        <v>17175</v>
      </c>
      <c r="K129">
        <v>0.15</v>
      </c>
      <c r="L129" t="s">
        <v>51</v>
      </c>
    </row>
    <row r="130" spans="1:12">
      <c r="A130" t="s">
        <v>343</v>
      </c>
      <c r="B130" t="s">
        <v>344</v>
      </c>
      <c r="C130" t="s">
        <v>46</v>
      </c>
      <c r="D130" t="s">
        <v>191</v>
      </c>
      <c r="E130" t="s">
        <v>194</v>
      </c>
      <c r="F130" t="s">
        <v>48</v>
      </c>
      <c r="G130" t="s">
        <v>27</v>
      </c>
      <c r="H130" t="s">
        <v>141</v>
      </c>
      <c r="I130">
        <v>4</v>
      </c>
      <c r="J130">
        <v>70333</v>
      </c>
      <c r="K130">
        <v>0.15</v>
      </c>
      <c r="L130" t="s">
        <v>51</v>
      </c>
    </row>
    <row r="131" spans="1:12">
      <c r="A131" t="s">
        <v>345</v>
      </c>
      <c r="B131" t="s">
        <v>346</v>
      </c>
      <c r="C131" t="s">
        <v>54</v>
      </c>
      <c r="D131" t="s">
        <v>55</v>
      </c>
      <c r="E131" t="s">
        <v>41</v>
      </c>
      <c r="F131" t="s">
        <v>48</v>
      </c>
      <c r="G131" t="s">
        <v>42</v>
      </c>
      <c r="H131" t="s">
        <v>43</v>
      </c>
      <c r="I131">
        <v>7</v>
      </c>
      <c r="J131">
        <v>1937</v>
      </c>
      <c r="K131">
        <v>0.1</v>
      </c>
      <c r="L131" t="s">
        <v>51</v>
      </c>
    </row>
    <row r="132" spans="1:12">
      <c r="A132" t="s">
        <v>347</v>
      </c>
      <c r="B132" t="s">
        <v>348</v>
      </c>
      <c r="C132" t="s">
        <v>46</v>
      </c>
      <c r="D132" t="s">
        <v>144</v>
      </c>
      <c r="E132" t="s">
        <v>194</v>
      </c>
      <c r="F132" t="s">
        <v>26</v>
      </c>
      <c r="G132" t="s">
        <v>49</v>
      </c>
      <c r="H132" t="s">
        <v>249</v>
      </c>
      <c r="I132">
        <v>1</v>
      </c>
      <c r="J132">
        <v>2646</v>
      </c>
      <c r="K132">
        <v>0.15</v>
      </c>
      <c r="L132" t="s">
        <v>29</v>
      </c>
    </row>
    <row r="133" spans="1:12">
      <c r="A133" t="s">
        <v>349</v>
      </c>
      <c r="B133" t="s">
        <v>318</v>
      </c>
      <c r="C133" t="s">
        <v>110</v>
      </c>
      <c r="D133" t="s">
        <v>350</v>
      </c>
      <c r="E133" t="s">
        <v>41</v>
      </c>
      <c r="F133" t="s">
        <v>94</v>
      </c>
      <c r="G133" t="s">
        <v>61</v>
      </c>
      <c r="H133" t="s">
        <v>90</v>
      </c>
      <c r="I133">
        <v>3</v>
      </c>
      <c r="J133">
        <v>12198</v>
      </c>
      <c r="K133">
        <v>0.15</v>
      </c>
      <c r="L133" t="s">
        <v>51</v>
      </c>
    </row>
    <row r="134" spans="1:12">
      <c r="A134" t="s">
        <v>351</v>
      </c>
      <c r="B134" t="s">
        <v>352</v>
      </c>
      <c r="C134" t="s">
        <v>74</v>
      </c>
      <c r="D134" t="s">
        <v>97</v>
      </c>
      <c r="E134" t="s">
        <v>25</v>
      </c>
      <c r="F134" t="s">
        <v>94</v>
      </c>
      <c r="G134" t="s">
        <v>49</v>
      </c>
      <c r="H134" t="s">
        <v>249</v>
      </c>
      <c r="I134">
        <v>3</v>
      </c>
      <c r="J134">
        <v>2735</v>
      </c>
      <c r="K134">
        <v>0.02</v>
      </c>
      <c r="L134" t="s">
        <v>51</v>
      </c>
    </row>
    <row r="135" spans="1:12">
      <c r="A135" t="s">
        <v>353</v>
      </c>
      <c r="B135" t="s">
        <v>354</v>
      </c>
      <c r="C135" t="s">
        <v>54</v>
      </c>
      <c r="D135" t="s">
        <v>97</v>
      </c>
      <c r="E135" t="s">
        <v>33</v>
      </c>
      <c r="F135" t="s">
        <v>184</v>
      </c>
      <c r="G135" t="s">
        <v>27</v>
      </c>
      <c r="H135" t="s">
        <v>28</v>
      </c>
      <c r="I135">
        <v>1</v>
      </c>
      <c r="J135">
        <v>73141</v>
      </c>
      <c r="K135">
        <v>0</v>
      </c>
      <c r="L135" t="s">
        <v>57</v>
      </c>
    </row>
    <row r="136" spans="1:12">
      <c r="A136" t="s">
        <v>355</v>
      </c>
      <c r="B136" t="s">
        <v>122</v>
      </c>
      <c r="C136" t="s">
        <v>110</v>
      </c>
      <c r="D136" t="s">
        <v>40</v>
      </c>
      <c r="E136" t="s">
        <v>56</v>
      </c>
      <c r="F136" t="s">
        <v>48</v>
      </c>
      <c r="G136" t="s">
        <v>34</v>
      </c>
      <c r="H136" t="s">
        <v>98</v>
      </c>
      <c r="I136">
        <v>3</v>
      </c>
      <c r="J136">
        <v>3967</v>
      </c>
      <c r="K136">
        <v>0.05</v>
      </c>
      <c r="L136" t="s">
        <v>29</v>
      </c>
    </row>
    <row r="137" spans="1:12">
      <c r="A137" t="s">
        <v>356</v>
      </c>
      <c r="B137" t="s">
        <v>22</v>
      </c>
      <c r="C137" t="s">
        <v>70</v>
      </c>
      <c r="D137" t="s">
        <v>138</v>
      </c>
      <c r="E137" t="s">
        <v>33</v>
      </c>
      <c r="F137" t="s">
        <v>26</v>
      </c>
      <c r="G137" t="s">
        <v>34</v>
      </c>
      <c r="H137" t="s">
        <v>145</v>
      </c>
      <c r="I137">
        <v>1</v>
      </c>
      <c r="J137">
        <v>2085</v>
      </c>
      <c r="K137">
        <v>0.15</v>
      </c>
      <c r="L137" t="s">
        <v>51</v>
      </c>
    </row>
    <row r="138" spans="1:12">
      <c r="A138" t="s">
        <v>357</v>
      </c>
      <c r="B138" t="s">
        <v>122</v>
      </c>
      <c r="C138" t="s">
        <v>54</v>
      </c>
      <c r="D138" t="s">
        <v>135</v>
      </c>
      <c r="E138" t="s">
        <v>25</v>
      </c>
      <c r="F138" t="s">
        <v>48</v>
      </c>
      <c r="G138" t="s">
        <v>49</v>
      </c>
      <c r="H138" t="s">
        <v>50</v>
      </c>
      <c r="I138">
        <v>4</v>
      </c>
      <c r="J138">
        <v>3127</v>
      </c>
      <c r="K138">
        <v>0.05</v>
      </c>
      <c r="L138" t="s">
        <v>57</v>
      </c>
    </row>
    <row r="139" spans="1:12">
      <c r="A139" t="s">
        <v>358</v>
      </c>
      <c r="B139" t="s">
        <v>359</v>
      </c>
      <c r="C139" t="s">
        <v>89</v>
      </c>
      <c r="D139" t="s">
        <v>302</v>
      </c>
      <c r="E139" t="s">
        <v>33</v>
      </c>
      <c r="F139" t="s">
        <v>26</v>
      </c>
      <c r="G139" t="s">
        <v>49</v>
      </c>
      <c r="H139" t="s">
        <v>249</v>
      </c>
      <c r="I139">
        <v>8</v>
      </c>
      <c r="J139">
        <v>3663</v>
      </c>
      <c r="K139">
        <v>0</v>
      </c>
      <c r="L139" t="s">
        <v>51</v>
      </c>
    </row>
    <row r="140" spans="1:12">
      <c r="A140" t="s">
        <v>360</v>
      </c>
      <c r="B140" t="s">
        <v>361</v>
      </c>
      <c r="C140" t="s">
        <v>70</v>
      </c>
      <c r="D140" t="s">
        <v>47</v>
      </c>
      <c r="E140" t="s">
        <v>25</v>
      </c>
      <c r="F140" t="s">
        <v>26</v>
      </c>
      <c r="G140" t="s">
        <v>27</v>
      </c>
      <c r="H140" t="s">
        <v>141</v>
      </c>
      <c r="I140">
        <v>5</v>
      </c>
      <c r="J140">
        <v>56984</v>
      </c>
      <c r="K140">
        <v>0.08</v>
      </c>
      <c r="L140" t="s">
        <v>36</v>
      </c>
    </row>
    <row r="141" spans="1:12">
      <c r="A141" t="s">
        <v>362</v>
      </c>
      <c r="B141" t="s">
        <v>305</v>
      </c>
      <c r="C141" t="s">
        <v>89</v>
      </c>
      <c r="D141" t="s">
        <v>350</v>
      </c>
      <c r="E141" t="s">
        <v>33</v>
      </c>
      <c r="F141" t="s">
        <v>26</v>
      </c>
      <c r="G141" t="s">
        <v>27</v>
      </c>
      <c r="H141" t="s">
        <v>117</v>
      </c>
      <c r="I141">
        <v>1</v>
      </c>
      <c r="J141">
        <v>76659</v>
      </c>
      <c r="K141">
        <v>0</v>
      </c>
      <c r="L141" t="s">
        <v>51</v>
      </c>
    </row>
    <row r="142" spans="1:12">
      <c r="A142" t="s">
        <v>363</v>
      </c>
      <c r="B142" t="s">
        <v>364</v>
      </c>
      <c r="C142" t="s">
        <v>54</v>
      </c>
      <c r="D142" t="s">
        <v>144</v>
      </c>
      <c r="E142" t="s">
        <v>25</v>
      </c>
      <c r="F142" t="s">
        <v>94</v>
      </c>
      <c r="G142" t="s">
        <v>42</v>
      </c>
      <c r="H142" t="s">
        <v>67</v>
      </c>
      <c r="I142">
        <v>3</v>
      </c>
      <c r="J142">
        <v>2622</v>
      </c>
      <c r="K142">
        <v>0</v>
      </c>
      <c r="L142" t="s">
        <v>29</v>
      </c>
    </row>
    <row r="143" spans="1:12">
      <c r="A143" t="s">
        <v>365</v>
      </c>
      <c r="B143" t="s">
        <v>366</v>
      </c>
      <c r="C143" t="s">
        <v>74</v>
      </c>
      <c r="D143" t="s">
        <v>269</v>
      </c>
      <c r="E143" t="s">
        <v>25</v>
      </c>
      <c r="F143" t="s">
        <v>94</v>
      </c>
      <c r="G143" t="s">
        <v>27</v>
      </c>
      <c r="H143" t="s">
        <v>28</v>
      </c>
      <c r="I143">
        <v>5</v>
      </c>
      <c r="J143" t="s">
        <v>244</v>
      </c>
      <c r="K143">
        <v>0.1</v>
      </c>
      <c r="L143" t="s">
        <v>57</v>
      </c>
    </row>
    <row r="144" spans="1:12">
      <c r="A144" t="s">
        <v>367</v>
      </c>
      <c r="B144" t="s">
        <v>368</v>
      </c>
      <c r="C144" t="s">
        <v>110</v>
      </c>
      <c r="D144" t="s">
        <v>200</v>
      </c>
      <c r="E144" t="s">
        <v>25</v>
      </c>
      <c r="F144" t="s">
        <v>48</v>
      </c>
      <c r="G144" t="s">
        <v>34</v>
      </c>
      <c r="H144" t="s">
        <v>145</v>
      </c>
      <c r="I144">
        <v>7</v>
      </c>
      <c r="J144">
        <v>2544</v>
      </c>
      <c r="K144">
        <v>0</v>
      </c>
      <c r="L144" t="s">
        <v>51</v>
      </c>
    </row>
    <row r="145" spans="1:12">
      <c r="A145" t="s">
        <v>369</v>
      </c>
      <c r="B145" t="s">
        <v>370</v>
      </c>
      <c r="C145" t="s">
        <v>39</v>
      </c>
      <c r="D145" t="s">
        <v>71</v>
      </c>
      <c r="E145" t="s">
        <v>41</v>
      </c>
      <c r="F145" t="s">
        <v>26</v>
      </c>
      <c r="G145" t="s">
        <v>49</v>
      </c>
      <c r="H145" t="s">
        <v>249</v>
      </c>
      <c r="I145">
        <v>8</v>
      </c>
      <c r="J145">
        <v>5045</v>
      </c>
      <c r="K145">
        <v>0.1</v>
      </c>
      <c r="L145" t="s">
        <v>51</v>
      </c>
    </row>
    <row r="146" spans="1:12">
      <c r="A146" t="s">
        <v>371</v>
      </c>
      <c r="B146" t="s">
        <v>372</v>
      </c>
      <c r="C146" t="s">
        <v>46</v>
      </c>
      <c r="D146" t="s">
        <v>97</v>
      </c>
      <c r="E146" t="s">
        <v>25</v>
      </c>
      <c r="F146" t="s">
        <v>26</v>
      </c>
      <c r="G146" t="s">
        <v>61</v>
      </c>
      <c r="H146" t="s">
        <v>75</v>
      </c>
      <c r="I146">
        <v>4</v>
      </c>
      <c r="J146">
        <v>25786</v>
      </c>
      <c r="K146">
        <v>0.02</v>
      </c>
      <c r="L146" t="s">
        <v>51</v>
      </c>
    </row>
    <row r="147" spans="1:12">
      <c r="A147" t="s">
        <v>373</v>
      </c>
      <c r="B147" t="s">
        <v>374</v>
      </c>
      <c r="C147" t="s">
        <v>110</v>
      </c>
      <c r="D147" t="s">
        <v>86</v>
      </c>
      <c r="E147" t="s">
        <v>41</v>
      </c>
      <c r="F147" t="s">
        <v>48</v>
      </c>
      <c r="G147" t="s">
        <v>42</v>
      </c>
      <c r="H147" t="s">
        <v>154</v>
      </c>
      <c r="I147">
        <v>7</v>
      </c>
      <c r="J147">
        <v>1136</v>
      </c>
      <c r="K147">
        <v>0.02</v>
      </c>
      <c r="L147" t="s">
        <v>51</v>
      </c>
    </row>
    <row r="148" spans="1:12">
      <c r="A148" t="s">
        <v>375</v>
      </c>
      <c r="B148" t="s">
        <v>376</v>
      </c>
      <c r="C148" t="s">
        <v>168</v>
      </c>
      <c r="D148" t="s">
        <v>125</v>
      </c>
      <c r="E148" t="s">
        <v>33</v>
      </c>
      <c r="F148" t="s">
        <v>94</v>
      </c>
      <c r="G148" t="s">
        <v>49</v>
      </c>
      <c r="H148" t="s">
        <v>83</v>
      </c>
      <c r="I148">
        <v>7</v>
      </c>
      <c r="J148">
        <v>4674</v>
      </c>
      <c r="K148">
        <v>0.15</v>
      </c>
      <c r="L148" t="s">
        <v>51</v>
      </c>
    </row>
    <row r="149" spans="1:12">
      <c r="A149" t="s">
        <v>377</v>
      </c>
      <c r="B149" t="s">
        <v>378</v>
      </c>
      <c r="C149" t="s">
        <v>379</v>
      </c>
      <c r="D149" t="s">
        <v>350</v>
      </c>
      <c r="E149" t="s">
        <v>153</v>
      </c>
      <c r="F149" t="s">
        <v>94</v>
      </c>
      <c r="G149" t="s">
        <v>27</v>
      </c>
      <c r="H149" t="s">
        <v>28</v>
      </c>
      <c r="I149">
        <v>5</v>
      </c>
      <c r="J149">
        <v>78675</v>
      </c>
      <c r="K149">
        <v>0.1</v>
      </c>
      <c r="L149" t="s">
        <v>51</v>
      </c>
    </row>
    <row r="150" spans="1:12">
      <c r="A150" t="s">
        <v>380</v>
      </c>
      <c r="B150" t="s">
        <v>96</v>
      </c>
      <c r="C150" t="s">
        <v>54</v>
      </c>
      <c r="D150" t="s">
        <v>114</v>
      </c>
      <c r="E150" t="s">
        <v>33</v>
      </c>
      <c r="F150" t="s">
        <v>26</v>
      </c>
      <c r="G150" t="s">
        <v>49</v>
      </c>
      <c r="H150" t="s">
        <v>249</v>
      </c>
      <c r="I150">
        <v>4</v>
      </c>
      <c r="J150">
        <v>4362</v>
      </c>
      <c r="K150">
        <v>0.02</v>
      </c>
      <c r="L150" t="s">
        <v>36</v>
      </c>
    </row>
    <row r="151" spans="1:12">
      <c r="A151" t="s">
        <v>381</v>
      </c>
      <c r="B151" t="s">
        <v>382</v>
      </c>
      <c r="C151" t="s">
        <v>89</v>
      </c>
      <c r="D151" t="s">
        <v>302</v>
      </c>
      <c r="E151" t="s">
        <v>41</v>
      </c>
      <c r="F151" t="s">
        <v>48</v>
      </c>
      <c r="G151" t="s">
        <v>34</v>
      </c>
      <c r="H151" t="s">
        <v>98</v>
      </c>
      <c r="I151">
        <v>6</v>
      </c>
      <c r="J151">
        <v>3516</v>
      </c>
      <c r="K151">
        <v>0.1</v>
      </c>
      <c r="L151" t="s">
        <v>57</v>
      </c>
    </row>
    <row r="152" spans="1:12">
      <c r="A152" t="s">
        <v>381</v>
      </c>
      <c r="B152" t="s">
        <v>122</v>
      </c>
      <c r="C152" t="s">
        <v>46</v>
      </c>
      <c r="D152" t="s">
        <v>135</v>
      </c>
      <c r="E152" t="s">
        <v>25</v>
      </c>
      <c r="F152" t="s">
        <v>94</v>
      </c>
      <c r="G152" t="s">
        <v>42</v>
      </c>
      <c r="H152" t="s">
        <v>154</v>
      </c>
      <c r="I152">
        <v>2</v>
      </c>
      <c r="J152">
        <v>2058</v>
      </c>
      <c r="K152">
        <v>0</v>
      </c>
      <c r="L152" t="s">
        <v>51</v>
      </c>
    </row>
    <row r="153" spans="1:12">
      <c r="A153" t="s">
        <v>383</v>
      </c>
      <c r="B153" t="s">
        <v>384</v>
      </c>
      <c r="C153" t="s">
        <v>74</v>
      </c>
      <c r="D153" t="s">
        <v>135</v>
      </c>
      <c r="E153" t="s">
        <v>25</v>
      </c>
      <c r="F153" t="s">
        <v>26</v>
      </c>
      <c r="G153" t="s">
        <v>27</v>
      </c>
      <c r="H153" t="s">
        <v>117</v>
      </c>
      <c r="I153">
        <v>5</v>
      </c>
      <c r="J153">
        <v>68442</v>
      </c>
      <c r="K153">
        <v>0.1</v>
      </c>
      <c r="L153" t="s">
        <v>51</v>
      </c>
    </row>
    <row r="154" spans="1:12">
      <c r="A154" t="s">
        <v>385</v>
      </c>
      <c r="B154" t="s">
        <v>172</v>
      </c>
      <c r="C154" t="s">
        <v>46</v>
      </c>
      <c r="D154" t="s">
        <v>285</v>
      </c>
      <c r="E154" t="s">
        <v>33</v>
      </c>
      <c r="F154" t="s">
        <v>94</v>
      </c>
      <c r="G154" t="s">
        <v>34</v>
      </c>
      <c r="H154" t="s">
        <v>35</v>
      </c>
      <c r="I154">
        <v>7</v>
      </c>
      <c r="J154">
        <v>1241</v>
      </c>
      <c r="K154">
        <v>0.1</v>
      </c>
      <c r="L154" t="s">
        <v>57</v>
      </c>
    </row>
    <row r="155" spans="1:12">
      <c r="A155" t="s">
        <v>386</v>
      </c>
      <c r="B155" t="s">
        <v>387</v>
      </c>
      <c r="C155" t="s">
        <v>110</v>
      </c>
      <c r="D155" t="s">
        <v>32</v>
      </c>
      <c r="E155" t="s">
        <v>25</v>
      </c>
      <c r="F155" t="s">
        <v>94</v>
      </c>
      <c r="G155" t="s">
        <v>49</v>
      </c>
      <c r="H155" t="s">
        <v>83</v>
      </c>
      <c r="I155">
        <v>8</v>
      </c>
      <c r="J155">
        <v>3117</v>
      </c>
      <c r="K155">
        <v>0.05</v>
      </c>
      <c r="L155" t="s">
        <v>51</v>
      </c>
    </row>
    <row r="156" spans="1:12">
      <c r="A156" t="s">
        <v>388</v>
      </c>
      <c r="B156" t="s">
        <v>389</v>
      </c>
      <c r="C156" t="s">
        <v>46</v>
      </c>
      <c r="D156" t="s">
        <v>97</v>
      </c>
      <c r="E156" t="s">
        <v>33</v>
      </c>
      <c r="F156" t="s">
        <v>94</v>
      </c>
      <c r="G156" t="s">
        <v>61</v>
      </c>
      <c r="H156" t="s">
        <v>90</v>
      </c>
      <c r="I156">
        <v>8</v>
      </c>
      <c r="J156">
        <v>20779</v>
      </c>
      <c r="K156">
        <v>0.08</v>
      </c>
      <c r="L156" t="s">
        <v>29</v>
      </c>
    </row>
    <row r="157" spans="1:12">
      <c r="A157" t="s">
        <v>390</v>
      </c>
      <c r="B157" t="s">
        <v>122</v>
      </c>
      <c r="C157" t="s">
        <v>110</v>
      </c>
      <c r="D157" t="s">
        <v>269</v>
      </c>
      <c r="E157" t="s">
        <v>41</v>
      </c>
      <c r="F157" t="s">
        <v>26</v>
      </c>
      <c r="G157" t="s">
        <v>27</v>
      </c>
      <c r="H157" t="s">
        <v>117</v>
      </c>
      <c r="I157">
        <v>8</v>
      </c>
      <c r="J157">
        <v>83668</v>
      </c>
      <c r="K157">
        <v>0.15</v>
      </c>
      <c r="L157" t="s">
        <v>51</v>
      </c>
    </row>
    <row r="158" spans="1:12">
      <c r="A158" t="s">
        <v>391</v>
      </c>
      <c r="B158" t="s">
        <v>197</v>
      </c>
      <c r="C158" t="s">
        <v>46</v>
      </c>
      <c r="D158" t="s">
        <v>93</v>
      </c>
      <c r="E158" t="s">
        <v>25</v>
      </c>
      <c r="F158" t="s">
        <v>94</v>
      </c>
      <c r="G158" t="s">
        <v>42</v>
      </c>
      <c r="H158" t="s">
        <v>67</v>
      </c>
      <c r="I158">
        <v>1</v>
      </c>
      <c r="J158">
        <v>2680</v>
      </c>
      <c r="K158">
        <v>0.02</v>
      </c>
      <c r="L158" t="s">
        <v>29</v>
      </c>
    </row>
    <row r="159" spans="1:12">
      <c r="A159" t="s">
        <v>392</v>
      </c>
      <c r="B159" t="s">
        <v>393</v>
      </c>
      <c r="C159" t="s">
        <v>110</v>
      </c>
      <c r="D159" t="s">
        <v>60</v>
      </c>
      <c r="E159" t="s">
        <v>41</v>
      </c>
      <c r="F159" t="s">
        <v>94</v>
      </c>
      <c r="G159" t="s">
        <v>34</v>
      </c>
      <c r="H159" t="s">
        <v>145</v>
      </c>
      <c r="I159">
        <v>2</v>
      </c>
      <c r="J159">
        <v>4192</v>
      </c>
      <c r="K159">
        <v>0.1</v>
      </c>
      <c r="L159" t="s">
        <v>51</v>
      </c>
    </row>
    <row r="160" spans="1:12">
      <c r="A160" t="s">
        <v>394</v>
      </c>
      <c r="B160" t="s">
        <v>274</v>
      </c>
      <c r="C160" t="s">
        <v>179</v>
      </c>
      <c r="D160" t="s">
        <v>302</v>
      </c>
      <c r="E160" t="s">
        <v>33</v>
      </c>
      <c r="F160" t="s">
        <v>48</v>
      </c>
      <c r="G160" t="s">
        <v>49</v>
      </c>
      <c r="H160" t="s">
        <v>50</v>
      </c>
      <c r="I160">
        <v>8</v>
      </c>
      <c r="J160">
        <v>5444</v>
      </c>
      <c r="K160">
        <v>0.08</v>
      </c>
      <c r="L160" t="s">
        <v>51</v>
      </c>
    </row>
    <row r="161" spans="1:12">
      <c r="A161" t="s">
        <v>395</v>
      </c>
      <c r="B161" t="s">
        <v>396</v>
      </c>
      <c r="C161" t="s">
        <v>39</v>
      </c>
      <c r="D161" t="s">
        <v>86</v>
      </c>
      <c r="E161" t="s">
        <v>25</v>
      </c>
      <c r="F161" t="s">
        <v>26</v>
      </c>
      <c r="G161" t="s">
        <v>27</v>
      </c>
      <c r="H161" t="s">
        <v>117</v>
      </c>
      <c r="I161">
        <v>8</v>
      </c>
      <c r="J161">
        <v>50619</v>
      </c>
      <c r="K161">
        <v>0.02</v>
      </c>
      <c r="L161" t="s">
        <v>51</v>
      </c>
    </row>
    <row r="162" spans="1:12">
      <c r="A162" t="s">
        <v>397</v>
      </c>
      <c r="B162" t="s">
        <v>398</v>
      </c>
      <c r="C162" t="s">
        <v>23</v>
      </c>
      <c r="D162" t="s">
        <v>269</v>
      </c>
      <c r="E162" t="s">
        <v>33</v>
      </c>
      <c r="F162" t="s">
        <v>48</v>
      </c>
      <c r="G162" t="s">
        <v>49</v>
      </c>
      <c r="H162" t="s">
        <v>50</v>
      </c>
      <c r="I162">
        <v>1</v>
      </c>
      <c r="J162">
        <v>6536</v>
      </c>
      <c r="K162">
        <v>0.1</v>
      </c>
      <c r="L162" t="s">
        <v>57</v>
      </c>
    </row>
    <row r="163" spans="1:12">
      <c r="A163" t="s">
        <v>399</v>
      </c>
      <c r="B163" t="s">
        <v>400</v>
      </c>
      <c r="C163" t="s">
        <v>401</v>
      </c>
      <c r="D163" t="s">
        <v>302</v>
      </c>
      <c r="E163" t="s">
        <v>33</v>
      </c>
      <c r="F163" t="s">
        <v>26</v>
      </c>
      <c r="G163" t="s">
        <v>34</v>
      </c>
      <c r="H163" t="s">
        <v>145</v>
      </c>
      <c r="I163">
        <v>2</v>
      </c>
      <c r="J163">
        <v>3285</v>
      </c>
      <c r="K163">
        <v>0.05</v>
      </c>
      <c r="L163" t="s">
        <v>57</v>
      </c>
    </row>
    <row r="164" spans="1:12">
      <c r="A164" t="s">
        <v>402</v>
      </c>
      <c r="B164" t="s">
        <v>403</v>
      </c>
      <c r="C164" t="s">
        <v>74</v>
      </c>
      <c r="D164" t="s">
        <v>200</v>
      </c>
      <c r="E164" t="s">
        <v>41</v>
      </c>
      <c r="F164" t="s">
        <v>94</v>
      </c>
      <c r="G164" t="s">
        <v>49</v>
      </c>
      <c r="H164" t="s">
        <v>83</v>
      </c>
      <c r="I164">
        <v>8</v>
      </c>
      <c r="J164">
        <v>6022</v>
      </c>
      <c r="K164">
        <v>0.02</v>
      </c>
      <c r="L164" t="s">
        <v>51</v>
      </c>
    </row>
    <row r="165" spans="1:12">
      <c r="A165" t="s">
        <v>404</v>
      </c>
      <c r="B165" t="s">
        <v>405</v>
      </c>
      <c r="C165" t="s">
        <v>46</v>
      </c>
      <c r="D165" t="s">
        <v>191</v>
      </c>
      <c r="E165" t="s">
        <v>25</v>
      </c>
      <c r="F165" t="s">
        <v>94</v>
      </c>
      <c r="G165" t="s">
        <v>49</v>
      </c>
      <c r="H165" t="s">
        <v>50</v>
      </c>
      <c r="I165">
        <v>8</v>
      </c>
      <c r="J165">
        <v>2690</v>
      </c>
      <c r="K165" t="s">
        <v>122</v>
      </c>
      <c r="L165" t="s">
        <v>29</v>
      </c>
    </row>
    <row r="166" spans="1:12">
      <c r="A166" t="s">
        <v>406</v>
      </c>
      <c r="B166" t="s">
        <v>387</v>
      </c>
      <c r="C166" t="s">
        <v>89</v>
      </c>
      <c r="D166" t="s">
        <v>66</v>
      </c>
      <c r="E166" t="s">
        <v>41</v>
      </c>
      <c r="F166" t="s">
        <v>94</v>
      </c>
      <c r="G166" t="s">
        <v>49</v>
      </c>
      <c r="H166" t="s">
        <v>83</v>
      </c>
      <c r="I166">
        <v>3</v>
      </c>
      <c r="J166">
        <v>6539</v>
      </c>
      <c r="K166">
        <v>0.15</v>
      </c>
      <c r="L166" t="s">
        <v>51</v>
      </c>
    </row>
    <row r="167" spans="1:12">
      <c r="A167" t="s">
        <v>407</v>
      </c>
      <c r="B167" t="s">
        <v>408</v>
      </c>
      <c r="C167" t="s">
        <v>23</v>
      </c>
      <c r="D167" t="s">
        <v>159</v>
      </c>
      <c r="E167" t="s">
        <v>41</v>
      </c>
      <c r="F167" t="s">
        <v>26</v>
      </c>
      <c r="G167" t="s">
        <v>49</v>
      </c>
      <c r="H167" t="s">
        <v>83</v>
      </c>
      <c r="I167">
        <v>1</v>
      </c>
      <c r="J167">
        <v>4809</v>
      </c>
      <c r="K167">
        <v>0.05</v>
      </c>
      <c r="L167" t="s">
        <v>51</v>
      </c>
    </row>
    <row r="168" spans="1:12">
      <c r="A168" t="s">
        <v>409</v>
      </c>
      <c r="B168" t="s">
        <v>410</v>
      </c>
      <c r="C168" t="s">
        <v>54</v>
      </c>
      <c r="D168" t="s">
        <v>209</v>
      </c>
      <c r="E168" t="s">
        <v>194</v>
      </c>
      <c r="F168" t="s">
        <v>94</v>
      </c>
      <c r="G168" t="s">
        <v>49</v>
      </c>
      <c r="H168" t="s">
        <v>249</v>
      </c>
      <c r="I168">
        <v>4</v>
      </c>
      <c r="J168">
        <v>6690</v>
      </c>
      <c r="K168">
        <v>0.15</v>
      </c>
      <c r="L168" t="s">
        <v>36</v>
      </c>
    </row>
    <row r="169" spans="1:12">
      <c r="A169" t="s">
        <v>411</v>
      </c>
      <c r="B169" t="s">
        <v>289</v>
      </c>
      <c r="C169" t="s">
        <v>54</v>
      </c>
      <c r="D169" t="s">
        <v>66</v>
      </c>
      <c r="E169" t="s">
        <v>25</v>
      </c>
      <c r="F169" t="s">
        <v>26</v>
      </c>
      <c r="G169" t="s">
        <v>34</v>
      </c>
      <c r="H169" t="s">
        <v>35</v>
      </c>
      <c r="I169">
        <v>4</v>
      </c>
      <c r="J169">
        <v>3123</v>
      </c>
      <c r="K169">
        <v>0.02</v>
      </c>
      <c r="L169" t="s">
        <v>51</v>
      </c>
    </row>
    <row r="170" spans="1:12">
      <c r="A170" t="s">
        <v>412</v>
      </c>
      <c r="B170" t="s">
        <v>346</v>
      </c>
      <c r="C170" t="s">
        <v>413</v>
      </c>
      <c r="D170" t="s">
        <v>71</v>
      </c>
      <c r="E170" t="s">
        <v>41</v>
      </c>
      <c r="F170" t="s">
        <v>26</v>
      </c>
      <c r="G170" t="s">
        <v>49</v>
      </c>
      <c r="H170" t="s">
        <v>83</v>
      </c>
      <c r="I170">
        <v>3</v>
      </c>
      <c r="J170" t="s">
        <v>122</v>
      </c>
      <c r="K170">
        <v>0</v>
      </c>
      <c r="L170" t="s">
        <v>57</v>
      </c>
    </row>
    <row r="171" spans="1:12">
      <c r="A171" t="s">
        <v>414</v>
      </c>
      <c r="B171" t="s">
        <v>415</v>
      </c>
      <c r="C171" t="s">
        <v>74</v>
      </c>
      <c r="D171" t="s">
        <v>79</v>
      </c>
      <c r="E171" t="s">
        <v>41</v>
      </c>
      <c r="F171" t="s">
        <v>94</v>
      </c>
      <c r="G171" t="s">
        <v>34</v>
      </c>
      <c r="H171" t="s">
        <v>145</v>
      </c>
      <c r="I171">
        <v>8</v>
      </c>
      <c r="J171">
        <v>3353</v>
      </c>
      <c r="K171">
        <v>0.1</v>
      </c>
      <c r="L171" t="s">
        <v>51</v>
      </c>
    </row>
    <row r="172" spans="1:12">
      <c r="A172" t="s">
        <v>416</v>
      </c>
      <c r="B172" t="s">
        <v>417</v>
      </c>
      <c r="C172" t="s">
        <v>54</v>
      </c>
      <c r="D172" t="s">
        <v>285</v>
      </c>
      <c r="E172" t="s">
        <v>33</v>
      </c>
      <c r="F172" t="s">
        <v>48</v>
      </c>
      <c r="G172" t="s">
        <v>42</v>
      </c>
      <c r="H172" t="s">
        <v>67</v>
      </c>
      <c r="I172">
        <v>8</v>
      </c>
      <c r="J172">
        <v>1423</v>
      </c>
      <c r="K172">
        <v>0.02</v>
      </c>
      <c r="L172" t="s">
        <v>36</v>
      </c>
    </row>
    <row r="173" spans="1:12">
      <c r="A173" t="s">
        <v>418</v>
      </c>
      <c r="B173" t="s">
        <v>176</v>
      </c>
      <c r="C173" t="s">
        <v>39</v>
      </c>
      <c r="D173" t="s">
        <v>219</v>
      </c>
      <c r="E173" t="s">
        <v>41</v>
      </c>
      <c r="F173" t="s">
        <v>94</v>
      </c>
      <c r="G173" t="s">
        <v>49</v>
      </c>
      <c r="H173" t="s">
        <v>83</v>
      </c>
      <c r="I173">
        <v>4</v>
      </c>
      <c r="J173">
        <v>7067</v>
      </c>
      <c r="K173">
        <v>0.1</v>
      </c>
      <c r="L173" t="s">
        <v>57</v>
      </c>
    </row>
    <row r="174" spans="1:12">
      <c r="A174" t="s">
        <v>419</v>
      </c>
      <c r="B174" t="s">
        <v>420</v>
      </c>
      <c r="C174" t="s">
        <v>46</v>
      </c>
      <c r="D174" t="s">
        <v>269</v>
      </c>
      <c r="E174" t="s">
        <v>41</v>
      </c>
      <c r="F174" t="s">
        <v>94</v>
      </c>
      <c r="G174" t="s">
        <v>42</v>
      </c>
      <c r="H174" t="s">
        <v>154</v>
      </c>
      <c r="I174">
        <v>6</v>
      </c>
      <c r="J174">
        <v>2107</v>
      </c>
      <c r="K174">
        <v>0.05</v>
      </c>
      <c r="L174" t="s">
        <v>36</v>
      </c>
    </row>
    <row r="175" spans="1:12">
      <c r="A175" t="s">
        <v>421</v>
      </c>
      <c r="B175" t="s">
        <v>223</v>
      </c>
      <c r="C175" t="s">
        <v>23</v>
      </c>
      <c r="D175" t="s">
        <v>97</v>
      </c>
      <c r="E175" t="s">
        <v>25</v>
      </c>
      <c r="F175" t="s">
        <v>94</v>
      </c>
      <c r="G175" t="s">
        <v>61</v>
      </c>
      <c r="H175" t="s">
        <v>75</v>
      </c>
      <c r="I175">
        <v>1</v>
      </c>
      <c r="J175">
        <v>12131</v>
      </c>
      <c r="K175">
        <v>0</v>
      </c>
      <c r="L175" t="s">
        <v>29</v>
      </c>
    </row>
    <row r="176" spans="1:12">
      <c r="A176" t="s">
        <v>422</v>
      </c>
      <c r="B176" t="s">
        <v>423</v>
      </c>
      <c r="C176" t="s">
        <v>70</v>
      </c>
      <c r="D176" t="s">
        <v>209</v>
      </c>
      <c r="E176" t="s">
        <v>41</v>
      </c>
      <c r="F176" t="s">
        <v>94</v>
      </c>
      <c r="G176" t="s">
        <v>34</v>
      </c>
      <c r="H176" t="s">
        <v>98</v>
      </c>
      <c r="I176">
        <v>3</v>
      </c>
      <c r="J176" t="s">
        <v>122</v>
      </c>
      <c r="K176">
        <v>0.1</v>
      </c>
      <c r="L176" t="s">
        <v>57</v>
      </c>
    </row>
    <row r="177" spans="1:12">
      <c r="A177" t="s">
        <v>424</v>
      </c>
      <c r="B177" t="s">
        <v>425</v>
      </c>
      <c r="C177" t="s">
        <v>54</v>
      </c>
      <c r="D177" t="s">
        <v>111</v>
      </c>
      <c r="E177" t="s">
        <v>41</v>
      </c>
      <c r="F177" t="s">
        <v>48</v>
      </c>
      <c r="G177" t="s">
        <v>34</v>
      </c>
      <c r="H177" t="s">
        <v>98</v>
      </c>
      <c r="I177">
        <v>5</v>
      </c>
      <c r="J177">
        <v>3654</v>
      </c>
      <c r="K177">
        <v>0.1</v>
      </c>
      <c r="L177" t="s">
        <v>51</v>
      </c>
    </row>
    <row r="178" spans="1:12">
      <c r="A178" t="s">
        <v>426</v>
      </c>
      <c r="B178" t="s">
        <v>246</v>
      </c>
      <c r="C178" t="s">
        <v>74</v>
      </c>
      <c r="D178" t="s">
        <v>82</v>
      </c>
      <c r="E178" t="s">
        <v>25</v>
      </c>
      <c r="F178" t="s">
        <v>243</v>
      </c>
      <c r="G178" t="s">
        <v>34</v>
      </c>
      <c r="H178" t="s">
        <v>98</v>
      </c>
      <c r="I178">
        <v>5</v>
      </c>
      <c r="J178">
        <v>1760</v>
      </c>
      <c r="K178">
        <v>0</v>
      </c>
      <c r="L178" t="s">
        <v>36</v>
      </c>
    </row>
    <row r="179" spans="1:12">
      <c r="A179" t="s">
        <v>427</v>
      </c>
      <c r="B179" t="s">
        <v>428</v>
      </c>
      <c r="C179" t="s">
        <v>78</v>
      </c>
      <c r="D179" t="s">
        <v>105</v>
      </c>
      <c r="E179" t="s">
        <v>25</v>
      </c>
      <c r="F179" t="s">
        <v>48</v>
      </c>
      <c r="G179" t="s">
        <v>61</v>
      </c>
      <c r="H179" t="s">
        <v>62</v>
      </c>
      <c r="I179">
        <v>1</v>
      </c>
      <c r="J179">
        <v>25331</v>
      </c>
      <c r="K179">
        <v>0.05</v>
      </c>
      <c r="L179" t="s">
        <v>51</v>
      </c>
    </row>
    <row r="180" spans="1:12">
      <c r="A180" t="s">
        <v>429</v>
      </c>
      <c r="B180" t="s">
        <v>430</v>
      </c>
      <c r="C180" t="s">
        <v>89</v>
      </c>
      <c r="D180" t="s">
        <v>55</v>
      </c>
      <c r="E180" t="s">
        <v>25</v>
      </c>
      <c r="F180" t="s">
        <v>26</v>
      </c>
      <c r="G180" t="s">
        <v>27</v>
      </c>
      <c r="H180" t="s">
        <v>28</v>
      </c>
      <c r="I180">
        <v>5</v>
      </c>
      <c r="J180">
        <v>51157</v>
      </c>
      <c r="K180">
        <v>0.05</v>
      </c>
      <c r="L180" t="s">
        <v>51</v>
      </c>
    </row>
    <row r="181" spans="1:12">
      <c r="A181" t="s">
        <v>431</v>
      </c>
      <c r="B181" t="s">
        <v>432</v>
      </c>
      <c r="C181" t="s">
        <v>23</v>
      </c>
      <c r="D181" t="s">
        <v>105</v>
      </c>
      <c r="E181" t="s">
        <v>33</v>
      </c>
      <c r="F181" t="s">
        <v>26</v>
      </c>
      <c r="G181" t="s">
        <v>49</v>
      </c>
      <c r="H181" t="s">
        <v>249</v>
      </c>
      <c r="I181">
        <v>8</v>
      </c>
      <c r="J181">
        <v>7158</v>
      </c>
      <c r="K181">
        <v>0.15</v>
      </c>
      <c r="L181" t="s">
        <v>57</v>
      </c>
    </row>
    <row r="182" spans="1:12">
      <c r="A182" t="s">
        <v>433</v>
      </c>
      <c r="B182" t="s">
        <v>248</v>
      </c>
      <c r="C182" t="s">
        <v>46</v>
      </c>
      <c r="D182" t="s">
        <v>66</v>
      </c>
      <c r="E182" t="s">
        <v>33</v>
      </c>
      <c r="F182" t="s">
        <v>94</v>
      </c>
      <c r="G182" t="s">
        <v>34</v>
      </c>
      <c r="H182" t="s">
        <v>98</v>
      </c>
      <c r="I182">
        <v>1</v>
      </c>
      <c r="J182">
        <v>4134</v>
      </c>
      <c r="K182">
        <v>0.08</v>
      </c>
      <c r="L182" t="s">
        <v>36</v>
      </c>
    </row>
    <row r="183" spans="1:12">
      <c r="A183" t="s">
        <v>434</v>
      </c>
      <c r="B183" t="s">
        <v>435</v>
      </c>
      <c r="C183" t="s">
        <v>23</v>
      </c>
      <c r="D183" t="s">
        <v>40</v>
      </c>
      <c r="E183" t="s">
        <v>41</v>
      </c>
      <c r="F183" t="s">
        <v>26</v>
      </c>
      <c r="G183" t="s">
        <v>49</v>
      </c>
      <c r="H183" t="s">
        <v>83</v>
      </c>
      <c r="I183">
        <v>6</v>
      </c>
      <c r="J183">
        <v>1653</v>
      </c>
      <c r="K183">
        <v>0.1</v>
      </c>
      <c r="L183" t="s">
        <v>51</v>
      </c>
    </row>
    <row r="184" spans="1:12">
      <c r="A184" t="s">
        <v>436</v>
      </c>
      <c r="B184" t="s">
        <v>437</v>
      </c>
      <c r="C184" t="s">
        <v>379</v>
      </c>
      <c r="D184" t="s">
        <v>66</v>
      </c>
      <c r="E184" t="s">
        <v>33</v>
      </c>
      <c r="F184" t="s">
        <v>48</v>
      </c>
      <c r="G184" t="s">
        <v>61</v>
      </c>
      <c r="H184" t="s">
        <v>75</v>
      </c>
      <c r="I184">
        <v>7</v>
      </c>
      <c r="J184">
        <v>24904</v>
      </c>
      <c r="K184">
        <v>0.15</v>
      </c>
      <c r="L184" t="s">
        <v>29</v>
      </c>
    </row>
    <row r="185" spans="1:12">
      <c r="A185" t="s">
        <v>438</v>
      </c>
      <c r="B185" t="s">
        <v>439</v>
      </c>
      <c r="C185" t="s">
        <v>70</v>
      </c>
      <c r="D185" t="s">
        <v>191</v>
      </c>
      <c r="E185" t="s">
        <v>25</v>
      </c>
      <c r="F185" t="s">
        <v>48</v>
      </c>
      <c r="G185" t="s">
        <v>49</v>
      </c>
      <c r="H185" t="s">
        <v>83</v>
      </c>
      <c r="I185">
        <v>2</v>
      </c>
      <c r="J185">
        <v>5755</v>
      </c>
      <c r="K185">
        <v>0</v>
      </c>
      <c r="L185" t="s">
        <v>36</v>
      </c>
    </row>
    <row r="186" spans="1:12">
      <c r="A186" t="s">
        <v>440</v>
      </c>
      <c r="B186" t="s">
        <v>291</v>
      </c>
      <c r="C186" t="s">
        <v>54</v>
      </c>
      <c r="D186" t="s">
        <v>97</v>
      </c>
      <c r="E186" t="s">
        <v>33</v>
      </c>
      <c r="F186" t="s">
        <v>26</v>
      </c>
      <c r="G186" t="s">
        <v>61</v>
      </c>
      <c r="H186" t="s">
        <v>90</v>
      </c>
      <c r="I186">
        <v>8</v>
      </c>
      <c r="J186">
        <v>20059</v>
      </c>
      <c r="K186">
        <v>0.05</v>
      </c>
      <c r="L186" t="s">
        <v>51</v>
      </c>
    </row>
    <row r="187" spans="1:12">
      <c r="A187" t="s">
        <v>441</v>
      </c>
      <c r="B187" t="s">
        <v>442</v>
      </c>
      <c r="C187" t="s">
        <v>65</v>
      </c>
      <c r="D187" t="s">
        <v>191</v>
      </c>
      <c r="E187" t="s">
        <v>33</v>
      </c>
      <c r="F187" t="s">
        <v>26</v>
      </c>
      <c r="G187" t="s">
        <v>27</v>
      </c>
      <c r="H187" t="s">
        <v>117</v>
      </c>
      <c r="I187">
        <v>1</v>
      </c>
      <c r="J187">
        <v>63643</v>
      </c>
      <c r="K187">
        <v>0.05</v>
      </c>
      <c r="L187" t="s">
        <v>51</v>
      </c>
    </row>
    <row r="188" spans="1:12">
      <c r="A188" t="s">
        <v>443</v>
      </c>
      <c r="B188" t="s">
        <v>324</v>
      </c>
      <c r="C188" t="s">
        <v>23</v>
      </c>
      <c r="D188" t="s">
        <v>302</v>
      </c>
      <c r="E188" t="s">
        <v>33</v>
      </c>
      <c r="F188" t="s">
        <v>94</v>
      </c>
      <c r="G188" t="s">
        <v>34</v>
      </c>
      <c r="H188" t="s">
        <v>98</v>
      </c>
      <c r="I188">
        <v>6</v>
      </c>
      <c r="J188">
        <v>2981</v>
      </c>
      <c r="K188">
        <v>0.08</v>
      </c>
      <c r="L188" t="s">
        <v>51</v>
      </c>
    </row>
    <row r="189" spans="1:12">
      <c r="A189" t="s">
        <v>444</v>
      </c>
      <c r="B189" t="s">
        <v>445</v>
      </c>
      <c r="C189" t="s">
        <v>78</v>
      </c>
      <c r="D189" t="s">
        <v>114</v>
      </c>
      <c r="E189" t="s">
        <v>41</v>
      </c>
      <c r="F189" t="s">
        <v>26</v>
      </c>
      <c r="G189" t="s">
        <v>49</v>
      </c>
      <c r="H189" t="s">
        <v>249</v>
      </c>
      <c r="I189">
        <v>3</v>
      </c>
      <c r="J189">
        <v>4115</v>
      </c>
      <c r="K189">
        <v>0.05</v>
      </c>
      <c r="L189" t="s">
        <v>57</v>
      </c>
    </row>
    <row r="190" spans="1:12">
      <c r="A190" t="s">
        <v>446</v>
      </c>
      <c r="B190" t="s">
        <v>447</v>
      </c>
      <c r="C190" t="s">
        <v>110</v>
      </c>
      <c r="D190" t="s">
        <v>269</v>
      </c>
      <c r="E190" t="s">
        <v>33</v>
      </c>
      <c r="F190" t="s">
        <v>48</v>
      </c>
      <c r="G190" t="s">
        <v>34</v>
      </c>
      <c r="H190" t="s">
        <v>35</v>
      </c>
      <c r="I190">
        <v>4</v>
      </c>
      <c r="J190">
        <v>2268</v>
      </c>
      <c r="K190">
        <v>0.08</v>
      </c>
      <c r="L190" t="s">
        <v>29</v>
      </c>
    </row>
    <row r="191" spans="1:12">
      <c r="A191" t="s">
        <v>448</v>
      </c>
      <c r="B191" t="s">
        <v>449</v>
      </c>
      <c r="C191" t="s">
        <v>23</v>
      </c>
      <c r="D191" t="s">
        <v>60</v>
      </c>
      <c r="E191" t="s">
        <v>33</v>
      </c>
      <c r="F191" t="s">
        <v>214</v>
      </c>
      <c r="G191" t="s">
        <v>27</v>
      </c>
      <c r="H191" t="s">
        <v>141</v>
      </c>
      <c r="I191">
        <v>4</v>
      </c>
      <c r="J191">
        <v>67919</v>
      </c>
      <c r="K191">
        <v>0.02</v>
      </c>
      <c r="L191" t="s">
        <v>36</v>
      </c>
    </row>
    <row r="192" spans="1:12">
      <c r="A192" t="s">
        <v>450</v>
      </c>
      <c r="B192" t="s">
        <v>122</v>
      </c>
      <c r="C192" t="s">
        <v>379</v>
      </c>
      <c r="D192" t="s">
        <v>350</v>
      </c>
      <c r="E192" t="s">
        <v>25</v>
      </c>
      <c r="F192" t="s">
        <v>26</v>
      </c>
      <c r="G192" t="s">
        <v>42</v>
      </c>
      <c r="H192" t="s">
        <v>154</v>
      </c>
      <c r="I192">
        <v>1</v>
      </c>
      <c r="J192">
        <v>1746</v>
      </c>
      <c r="K192">
        <v>0.05</v>
      </c>
      <c r="L192" t="s">
        <v>51</v>
      </c>
    </row>
    <row r="193" spans="1:12">
      <c r="A193" t="s">
        <v>451</v>
      </c>
      <c r="B193" t="s">
        <v>452</v>
      </c>
      <c r="C193" t="s">
        <v>46</v>
      </c>
      <c r="D193" t="s">
        <v>32</v>
      </c>
      <c r="E193" t="s">
        <v>153</v>
      </c>
      <c r="F193" t="s">
        <v>26</v>
      </c>
      <c r="G193" t="s">
        <v>34</v>
      </c>
      <c r="H193" t="s">
        <v>98</v>
      </c>
      <c r="I193">
        <v>1</v>
      </c>
      <c r="J193">
        <v>5301</v>
      </c>
      <c r="K193">
        <v>0</v>
      </c>
      <c r="L193" t="s">
        <v>51</v>
      </c>
    </row>
    <row r="194" spans="1:12">
      <c r="A194" t="s">
        <v>453</v>
      </c>
      <c r="B194" t="s">
        <v>454</v>
      </c>
      <c r="C194" t="s">
        <v>110</v>
      </c>
      <c r="D194" t="s">
        <v>79</v>
      </c>
      <c r="E194" t="s">
        <v>41</v>
      </c>
      <c r="F194" t="s">
        <v>26</v>
      </c>
      <c r="G194" t="s">
        <v>27</v>
      </c>
      <c r="H194" t="s">
        <v>117</v>
      </c>
      <c r="I194">
        <v>3</v>
      </c>
      <c r="J194">
        <v>59783</v>
      </c>
      <c r="K194">
        <v>0</v>
      </c>
      <c r="L194" t="s">
        <v>36</v>
      </c>
    </row>
    <row r="195" spans="1:12">
      <c r="A195" t="s">
        <v>455</v>
      </c>
      <c r="B195" t="s">
        <v>221</v>
      </c>
      <c r="C195" t="s">
        <v>39</v>
      </c>
      <c r="D195" t="s">
        <v>350</v>
      </c>
      <c r="E195" t="s">
        <v>41</v>
      </c>
      <c r="F195" t="s">
        <v>94</v>
      </c>
      <c r="G195" t="s">
        <v>61</v>
      </c>
      <c r="H195" t="s">
        <v>62</v>
      </c>
      <c r="I195">
        <v>2</v>
      </c>
      <c r="J195">
        <v>14178</v>
      </c>
      <c r="K195">
        <v>0.02</v>
      </c>
      <c r="L195" t="s">
        <v>51</v>
      </c>
    </row>
    <row r="196" spans="1:12">
      <c r="A196" t="s">
        <v>456</v>
      </c>
      <c r="B196" t="s">
        <v>305</v>
      </c>
      <c r="C196" t="s">
        <v>74</v>
      </c>
      <c r="D196" t="s">
        <v>127</v>
      </c>
      <c r="E196" t="s">
        <v>41</v>
      </c>
      <c r="F196" t="s">
        <v>48</v>
      </c>
      <c r="G196" t="s">
        <v>61</v>
      </c>
      <c r="H196" t="s">
        <v>90</v>
      </c>
      <c r="I196">
        <v>0</v>
      </c>
      <c r="J196">
        <v>9854</v>
      </c>
      <c r="K196">
        <v>0.02</v>
      </c>
      <c r="L196" t="s">
        <v>57</v>
      </c>
    </row>
    <row r="197" spans="1:12">
      <c r="A197" t="s">
        <v>457</v>
      </c>
      <c r="B197" t="s">
        <v>458</v>
      </c>
      <c r="C197" t="s">
        <v>70</v>
      </c>
      <c r="D197" t="s">
        <v>60</v>
      </c>
      <c r="E197" t="s">
        <v>33</v>
      </c>
      <c r="F197" t="s">
        <v>26</v>
      </c>
      <c r="G197" t="s">
        <v>61</v>
      </c>
      <c r="H197" t="s">
        <v>75</v>
      </c>
      <c r="I197">
        <v>7</v>
      </c>
      <c r="J197">
        <v>25054</v>
      </c>
      <c r="K197">
        <v>0.08</v>
      </c>
      <c r="L197" t="s">
        <v>51</v>
      </c>
    </row>
    <row r="198" spans="1:12">
      <c r="A198" t="s">
        <v>459</v>
      </c>
      <c r="B198" t="s">
        <v>460</v>
      </c>
      <c r="C198" t="s">
        <v>70</v>
      </c>
      <c r="D198" t="s">
        <v>269</v>
      </c>
      <c r="E198" t="s">
        <v>33</v>
      </c>
      <c r="F198" t="s">
        <v>48</v>
      </c>
      <c r="G198" t="s">
        <v>27</v>
      </c>
      <c r="H198" t="s">
        <v>117</v>
      </c>
      <c r="I198">
        <v>7</v>
      </c>
      <c r="J198">
        <v>78824</v>
      </c>
      <c r="K198">
        <v>0.05</v>
      </c>
      <c r="L198" t="s">
        <v>51</v>
      </c>
    </row>
    <row r="199" spans="1:12">
      <c r="A199" t="s">
        <v>461</v>
      </c>
      <c r="B199" t="s">
        <v>462</v>
      </c>
      <c r="C199" t="s">
        <v>39</v>
      </c>
      <c r="D199" t="s">
        <v>93</v>
      </c>
      <c r="E199" t="s">
        <v>25</v>
      </c>
      <c r="F199" t="s">
        <v>26</v>
      </c>
      <c r="G199" t="s">
        <v>42</v>
      </c>
      <c r="H199" t="s">
        <v>67</v>
      </c>
      <c r="I199">
        <v>6</v>
      </c>
      <c r="J199">
        <v>1069</v>
      </c>
      <c r="K199">
        <v>0.15</v>
      </c>
      <c r="L199" t="s">
        <v>36</v>
      </c>
    </row>
    <row r="200" spans="1:12">
      <c r="A200" t="s">
        <v>463</v>
      </c>
      <c r="B200" t="s">
        <v>464</v>
      </c>
      <c r="C200" t="s">
        <v>74</v>
      </c>
      <c r="D200" t="s">
        <v>350</v>
      </c>
      <c r="E200" t="s">
        <v>25</v>
      </c>
      <c r="F200" t="s">
        <v>48</v>
      </c>
      <c r="G200" t="s">
        <v>49</v>
      </c>
      <c r="H200" t="s">
        <v>50</v>
      </c>
      <c r="I200">
        <v>5</v>
      </c>
      <c r="J200">
        <v>4937</v>
      </c>
      <c r="K200">
        <v>0.05</v>
      </c>
      <c r="L200" t="s">
        <v>36</v>
      </c>
    </row>
    <row r="201" spans="1:12">
      <c r="A201" t="s">
        <v>465</v>
      </c>
      <c r="B201" t="s">
        <v>466</v>
      </c>
      <c r="C201" t="s">
        <v>467</v>
      </c>
      <c r="D201" t="s">
        <v>105</v>
      </c>
      <c r="E201" t="s">
        <v>33</v>
      </c>
      <c r="F201" t="s">
        <v>48</v>
      </c>
      <c r="G201" t="s">
        <v>42</v>
      </c>
      <c r="H201" t="s">
        <v>43</v>
      </c>
      <c r="I201">
        <v>5</v>
      </c>
      <c r="J201">
        <v>1702</v>
      </c>
      <c r="K201">
        <v>0.1</v>
      </c>
      <c r="L201" t="s">
        <v>36</v>
      </c>
    </row>
    <row r="202" spans="1:12">
      <c r="A202" t="s">
        <v>468</v>
      </c>
      <c r="B202" t="s">
        <v>469</v>
      </c>
      <c r="C202" t="s">
        <v>23</v>
      </c>
      <c r="D202" t="s">
        <v>350</v>
      </c>
      <c r="E202" t="s">
        <v>25</v>
      </c>
      <c r="F202" t="s">
        <v>48</v>
      </c>
      <c r="G202" t="s">
        <v>49</v>
      </c>
      <c r="H202" t="s">
        <v>50</v>
      </c>
      <c r="I202">
        <v>5</v>
      </c>
      <c r="J202">
        <v>2262</v>
      </c>
      <c r="K202">
        <v>0.05</v>
      </c>
      <c r="L202" t="s">
        <v>51</v>
      </c>
    </row>
    <row r="203" spans="1:12">
      <c r="A203" t="s">
        <v>470</v>
      </c>
      <c r="B203" t="s">
        <v>471</v>
      </c>
      <c r="C203" t="s">
        <v>74</v>
      </c>
      <c r="D203" t="s">
        <v>82</v>
      </c>
      <c r="E203" t="s">
        <v>33</v>
      </c>
      <c r="F203" t="s">
        <v>94</v>
      </c>
      <c r="G203" t="s">
        <v>27</v>
      </c>
      <c r="H203" t="s">
        <v>141</v>
      </c>
      <c r="I203">
        <v>6</v>
      </c>
      <c r="J203">
        <v>72987</v>
      </c>
      <c r="K203">
        <v>0.02</v>
      </c>
      <c r="L203" t="s">
        <v>57</v>
      </c>
    </row>
    <row r="204" spans="1:12">
      <c r="A204" t="s">
        <v>472</v>
      </c>
      <c r="B204" t="s">
        <v>473</v>
      </c>
      <c r="C204" t="s">
        <v>89</v>
      </c>
      <c r="D204" t="s">
        <v>127</v>
      </c>
      <c r="E204" t="s">
        <v>41</v>
      </c>
      <c r="F204" t="s">
        <v>26</v>
      </c>
      <c r="G204" t="s">
        <v>34</v>
      </c>
      <c r="H204" t="s">
        <v>98</v>
      </c>
      <c r="I204">
        <v>5</v>
      </c>
      <c r="J204">
        <v>3507</v>
      </c>
      <c r="K204">
        <v>0.05</v>
      </c>
      <c r="L204" t="s">
        <v>57</v>
      </c>
    </row>
    <row r="205" spans="1:12">
      <c r="A205" t="s">
        <v>474</v>
      </c>
      <c r="B205" t="s">
        <v>181</v>
      </c>
      <c r="C205" t="s">
        <v>54</v>
      </c>
      <c r="D205" t="s">
        <v>200</v>
      </c>
      <c r="E205" t="s">
        <v>41</v>
      </c>
      <c r="F205" t="s">
        <v>48</v>
      </c>
      <c r="G205" t="s">
        <v>42</v>
      </c>
      <c r="H205" t="s">
        <v>154</v>
      </c>
      <c r="I205">
        <v>6</v>
      </c>
      <c r="J205">
        <v>2834</v>
      </c>
      <c r="K205">
        <v>0.1</v>
      </c>
      <c r="L205" t="s">
        <v>57</v>
      </c>
    </row>
    <row r="206" spans="1:12">
      <c r="A206" t="s">
        <v>475</v>
      </c>
      <c r="B206" t="s">
        <v>122</v>
      </c>
      <c r="C206" t="s">
        <v>46</v>
      </c>
      <c r="D206" t="s">
        <v>200</v>
      </c>
      <c r="E206" t="s">
        <v>25</v>
      </c>
      <c r="F206" t="s">
        <v>48</v>
      </c>
      <c r="G206" t="s">
        <v>34</v>
      </c>
      <c r="H206" t="s">
        <v>145</v>
      </c>
      <c r="I206">
        <v>4</v>
      </c>
      <c r="J206">
        <v>4590</v>
      </c>
      <c r="K206">
        <v>0.05</v>
      </c>
      <c r="L206" t="s">
        <v>29</v>
      </c>
    </row>
    <row r="207" spans="1:12">
      <c r="A207" t="s">
        <v>476</v>
      </c>
      <c r="B207" t="s">
        <v>221</v>
      </c>
      <c r="C207" t="s">
        <v>281</v>
      </c>
      <c r="D207" t="s">
        <v>60</v>
      </c>
      <c r="E207" t="s">
        <v>33</v>
      </c>
      <c r="F207" t="s">
        <v>48</v>
      </c>
      <c r="G207" t="s">
        <v>34</v>
      </c>
      <c r="H207" t="s">
        <v>98</v>
      </c>
      <c r="I207">
        <v>1</v>
      </c>
      <c r="J207">
        <v>2287</v>
      </c>
      <c r="K207">
        <v>0.08</v>
      </c>
      <c r="L207" t="s">
        <v>29</v>
      </c>
    </row>
    <row r="208" spans="1:12">
      <c r="A208" t="s">
        <v>477</v>
      </c>
      <c r="B208" t="s">
        <v>458</v>
      </c>
      <c r="C208" t="s">
        <v>89</v>
      </c>
      <c r="D208" t="s">
        <v>86</v>
      </c>
      <c r="E208" t="s">
        <v>25</v>
      </c>
      <c r="F208" t="s">
        <v>94</v>
      </c>
      <c r="G208" t="s">
        <v>61</v>
      </c>
      <c r="H208" t="s">
        <v>62</v>
      </c>
      <c r="I208">
        <v>5</v>
      </c>
      <c r="J208">
        <v>19457</v>
      </c>
      <c r="K208">
        <v>0.02</v>
      </c>
      <c r="L208" t="s">
        <v>51</v>
      </c>
    </row>
    <row r="209" spans="1:12">
      <c r="A209" t="s">
        <v>478</v>
      </c>
      <c r="B209" t="s">
        <v>479</v>
      </c>
      <c r="C209" t="s">
        <v>74</v>
      </c>
      <c r="D209" t="s">
        <v>138</v>
      </c>
      <c r="E209" t="s">
        <v>25</v>
      </c>
      <c r="F209" t="s">
        <v>26</v>
      </c>
      <c r="G209" t="s">
        <v>27</v>
      </c>
      <c r="H209" t="s">
        <v>28</v>
      </c>
      <c r="I209">
        <v>2</v>
      </c>
      <c r="J209">
        <v>75850</v>
      </c>
      <c r="K209">
        <v>0.08</v>
      </c>
      <c r="L209" t="s">
        <v>29</v>
      </c>
    </row>
    <row r="210" spans="1:12">
      <c r="A210" t="s">
        <v>480</v>
      </c>
      <c r="B210" t="s">
        <v>481</v>
      </c>
      <c r="C210" t="s">
        <v>54</v>
      </c>
      <c r="D210" t="s">
        <v>55</v>
      </c>
      <c r="E210" t="s">
        <v>41</v>
      </c>
      <c r="F210" t="s">
        <v>48</v>
      </c>
      <c r="G210" t="s">
        <v>34</v>
      </c>
      <c r="H210" t="s">
        <v>145</v>
      </c>
      <c r="I210">
        <v>5</v>
      </c>
      <c r="J210">
        <v>3033</v>
      </c>
      <c r="K210">
        <v>0.05</v>
      </c>
      <c r="L210" t="s">
        <v>29</v>
      </c>
    </row>
    <row r="211" spans="1:12">
      <c r="A211" t="s">
        <v>482</v>
      </c>
      <c r="B211" t="s">
        <v>483</v>
      </c>
      <c r="C211" t="s">
        <v>39</v>
      </c>
      <c r="D211" t="s">
        <v>135</v>
      </c>
      <c r="E211" t="s">
        <v>41</v>
      </c>
      <c r="F211" t="s">
        <v>26</v>
      </c>
      <c r="G211" t="s">
        <v>27</v>
      </c>
      <c r="H211" t="s">
        <v>141</v>
      </c>
      <c r="I211">
        <v>7</v>
      </c>
      <c r="J211">
        <v>64799</v>
      </c>
      <c r="K211">
        <v>0.02</v>
      </c>
      <c r="L211" t="s">
        <v>57</v>
      </c>
    </row>
    <row r="212" spans="1:12">
      <c r="A212" t="s">
        <v>484</v>
      </c>
      <c r="B212" t="s">
        <v>485</v>
      </c>
      <c r="C212" t="s">
        <v>70</v>
      </c>
      <c r="D212" t="s">
        <v>209</v>
      </c>
      <c r="E212" t="s">
        <v>25</v>
      </c>
      <c r="F212" t="s">
        <v>48</v>
      </c>
      <c r="G212" t="s">
        <v>42</v>
      </c>
      <c r="H212" t="s">
        <v>67</v>
      </c>
      <c r="I212">
        <v>5</v>
      </c>
      <c r="J212">
        <v>2523</v>
      </c>
      <c r="K212">
        <v>0.08</v>
      </c>
      <c r="L212" t="s">
        <v>51</v>
      </c>
    </row>
    <row r="213" spans="1:12">
      <c r="A213" t="s">
        <v>486</v>
      </c>
      <c r="B213" t="s">
        <v>487</v>
      </c>
      <c r="C213" t="s">
        <v>168</v>
      </c>
      <c r="D213" t="s">
        <v>79</v>
      </c>
      <c r="E213" t="s">
        <v>41</v>
      </c>
      <c r="F213" t="s">
        <v>94</v>
      </c>
      <c r="G213" t="s">
        <v>34</v>
      </c>
      <c r="H213" t="s">
        <v>98</v>
      </c>
      <c r="I213">
        <v>7</v>
      </c>
      <c r="J213">
        <v>1931</v>
      </c>
      <c r="K213">
        <v>0.02</v>
      </c>
      <c r="L213" t="s">
        <v>51</v>
      </c>
    </row>
    <row r="214" spans="1:12">
      <c r="A214" t="s">
        <v>488</v>
      </c>
      <c r="B214" t="s">
        <v>489</v>
      </c>
      <c r="C214" t="s">
        <v>23</v>
      </c>
      <c r="D214" t="s">
        <v>66</v>
      </c>
      <c r="E214" t="s">
        <v>41</v>
      </c>
      <c r="F214" t="s">
        <v>48</v>
      </c>
      <c r="G214" t="s">
        <v>42</v>
      </c>
      <c r="H214" t="s">
        <v>67</v>
      </c>
      <c r="I214">
        <v>5</v>
      </c>
      <c r="J214">
        <v>2408</v>
      </c>
      <c r="K214">
        <v>0.15</v>
      </c>
      <c r="L214" t="s">
        <v>51</v>
      </c>
    </row>
    <row r="215" spans="1:12">
      <c r="A215" t="s">
        <v>490</v>
      </c>
      <c r="B215" t="s">
        <v>491</v>
      </c>
      <c r="C215" t="s">
        <v>46</v>
      </c>
      <c r="D215" t="s">
        <v>159</v>
      </c>
      <c r="E215" t="s">
        <v>56</v>
      </c>
      <c r="F215" t="s">
        <v>48</v>
      </c>
      <c r="G215" t="s">
        <v>42</v>
      </c>
      <c r="H215" t="s">
        <v>43</v>
      </c>
      <c r="I215">
        <v>8</v>
      </c>
      <c r="J215">
        <v>3176</v>
      </c>
      <c r="K215">
        <v>0.15</v>
      </c>
      <c r="L215" t="s">
        <v>51</v>
      </c>
    </row>
    <row r="216" spans="1:12">
      <c r="A216" t="s">
        <v>492</v>
      </c>
      <c r="B216" t="s">
        <v>208</v>
      </c>
      <c r="C216" t="s">
        <v>46</v>
      </c>
      <c r="D216" t="s">
        <v>135</v>
      </c>
      <c r="E216" t="s">
        <v>33</v>
      </c>
      <c r="F216" t="s">
        <v>94</v>
      </c>
      <c r="G216" t="s">
        <v>34</v>
      </c>
      <c r="H216" t="s">
        <v>98</v>
      </c>
      <c r="I216">
        <v>2</v>
      </c>
      <c r="J216">
        <v>3208</v>
      </c>
      <c r="K216">
        <v>0.15</v>
      </c>
      <c r="L216" t="s">
        <v>36</v>
      </c>
    </row>
    <row r="217" spans="1:12">
      <c r="A217" t="s">
        <v>493</v>
      </c>
      <c r="B217" t="s">
        <v>449</v>
      </c>
      <c r="C217" t="s">
        <v>74</v>
      </c>
      <c r="D217" t="s">
        <v>86</v>
      </c>
      <c r="E217" t="s">
        <v>41</v>
      </c>
      <c r="F217" t="s">
        <v>26</v>
      </c>
      <c r="G217" t="s">
        <v>34</v>
      </c>
      <c r="H217" t="s">
        <v>145</v>
      </c>
      <c r="I217">
        <v>5</v>
      </c>
      <c r="J217">
        <v>2585</v>
      </c>
      <c r="K217">
        <v>0.15</v>
      </c>
      <c r="L217" t="s">
        <v>57</v>
      </c>
    </row>
    <row r="218" spans="1:12">
      <c r="A218" t="s">
        <v>494</v>
      </c>
      <c r="B218" t="s">
        <v>403</v>
      </c>
      <c r="C218" t="s">
        <v>110</v>
      </c>
      <c r="D218" t="s">
        <v>60</v>
      </c>
      <c r="E218" t="s">
        <v>25</v>
      </c>
      <c r="F218" t="s">
        <v>26</v>
      </c>
      <c r="G218" t="s">
        <v>61</v>
      </c>
      <c r="H218" t="s">
        <v>62</v>
      </c>
      <c r="I218">
        <v>3</v>
      </c>
      <c r="J218">
        <v>10084</v>
      </c>
      <c r="K218">
        <v>0.08</v>
      </c>
      <c r="L218" t="s">
        <v>29</v>
      </c>
    </row>
    <row r="219" spans="1:12">
      <c r="A219" t="s">
        <v>495</v>
      </c>
      <c r="B219" t="s">
        <v>496</v>
      </c>
      <c r="C219" t="s">
        <v>74</v>
      </c>
      <c r="D219" t="s">
        <v>105</v>
      </c>
      <c r="E219" t="s">
        <v>33</v>
      </c>
      <c r="F219" t="s">
        <v>48</v>
      </c>
      <c r="G219" t="s">
        <v>49</v>
      </c>
      <c r="H219" t="s">
        <v>249</v>
      </c>
      <c r="I219">
        <v>7</v>
      </c>
      <c r="J219">
        <v>5845</v>
      </c>
      <c r="K219">
        <v>0</v>
      </c>
      <c r="L219" t="s">
        <v>51</v>
      </c>
    </row>
    <row r="220" spans="1:12">
      <c r="A220" t="s">
        <v>497</v>
      </c>
      <c r="B220" t="s">
        <v>498</v>
      </c>
      <c r="C220" t="s">
        <v>499</v>
      </c>
      <c r="D220" t="s">
        <v>40</v>
      </c>
      <c r="E220" t="s">
        <v>25</v>
      </c>
      <c r="F220" t="s">
        <v>26</v>
      </c>
      <c r="G220" t="s">
        <v>49</v>
      </c>
      <c r="H220" t="s">
        <v>83</v>
      </c>
      <c r="I220">
        <v>3</v>
      </c>
      <c r="J220">
        <v>7051</v>
      </c>
      <c r="K220">
        <v>0.05</v>
      </c>
      <c r="L220" t="s">
        <v>57</v>
      </c>
    </row>
    <row r="221" spans="1:12">
      <c r="A221" t="s">
        <v>500</v>
      </c>
      <c r="B221" t="s">
        <v>501</v>
      </c>
      <c r="C221" t="s">
        <v>46</v>
      </c>
      <c r="D221" t="s">
        <v>32</v>
      </c>
      <c r="E221" t="s">
        <v>33</v>
      </c>
      <c r="F221" t="s">
        <v>94</v>
      </c>
      <c r="G221" t="s">
        <v>49</v>
      </c>
      <c r="H221" t="s">
        <v>50</v>
      </c>
      <c r="I221">
        <v>3</v>
      </c>
      <c r="J221">
        <v>6877</v>
      </c>
      <c r="K221">
        <v>0</v>
      </c>
      <c r="L221" t="s">
        <v>36</v>
      </c>
    </row>
    <row r="222" spans="1:12">
      <c r="A222" t="s">
        <v>502</v>
      </c>
      <c r="B222" t="s">
        <v>503</v>
      </c>
      <c r="C222" t="s">
        <v>70</v>
      </c>
      <c r="D222" t="s">
        <v>209</v>
      </c>
      <c r="E222" t="s">
        <v>41</v>
      </c>
      <c r="F222" t="s">
        <v>243</v>
      </c>
      <c r="G222" t="s">
        <v>34</v>
      </c>
      <c r="H222" t="s">
        <v>35</v>
      </c>
      <c r="I222">
        <v>3</v>
      </c>
      <c r="J222">
        <v>2843</v>
      </c>
      <c r="K222">
        <v>0.15</v>
      </c>
      <c r="L222" t="s">
        <v>29</v>
      </c>
    </row>
    <row r="223" spans="1:12">
      <c r="A223" t="s">
        <v>504</v>
      </c>
      <c r="B223" t="s">
        <v>374</v>
      </c>
      <c r="C223" t="s">
        <v>505</v>
      </c>
      <c r="D223" t="s">
        <v>350</v>
      </c>
      <c r="E223" t="s">
        <v>33</v>
      </c>
      <c r="F223" t="s">
        <v>94</v>
      </c>
      <c r="G223" t="s">
        <v>42</v>
      </c>
      <c r="H223" t="s">
        <v>43</v>
      </c>
      <c r="I223">
        <v>8</v>
      </c>
      <c r="J223">
        <v>2811</v>
      </c>
      <c r="K223">
        <v>0.08</v>
      </c>
      <c r="L223" t="s">
        <v>29</v>
      </c>
    </row>
    <row r="224" spans="1:12">
      <c r="A224" t="s">
        <v>506</v>
      </c>
      <c r="B224" t="s">
        <v>193</v>
      </c>
      <c r="C224" t="s">
        <v>23</v>
      </c>
      <c r="D224" t="s">
        <v>79</v>
      </c>
      <c r="E224" t="s">
        <v>25</v>
      </c>
      <c r="F224" t="s">
        <v>94</v>
      </c>
      <c r="G224" t="s">
        <v>27</v>
      </c>
      <c r="H224" t="s">
        <v>141</v>
      </c>
      <c r="I224">
        <v>4</v>
      </c>
      <c r="J224">
        <v>58311</v>
      </c>
      <c r="K224">
        <v>0.05</v>
      </c>
      <c r="L224" t="s">
        <v>36</v>
      </c>
    </row>
    <row r="225" spans="1:12">
      <c r="A225" t="s">
        <v>507</v>
      </c>
      <c r="B225" t="s">
        <v>508</v>
      </c>
      <c r="C225" t="s">
        <v>74</v>
      </c>
      <c r="D225" t="s">
        <v>138</v>
      </c>
      <c r="E225" t="s">
        <v>33</v>
      </c>
      <c r="F225" t="s">
        <v>26</v>
      </c>
      <c r="G225" t="s">
        <v>49</v>
      </c>
      <c r="H225" t="s">
        <v>83</v>
      </c>
      <c r="I225">
        <v>1</v>
      </c>
      <c r="J225">
        <v>7406</v>
      </c>
      <c r="K225">
        <v>0.08</v>
      </c>
      <c r="L225" t="s">
        <v>51</v>
      </c>
    </row>
    <row r="226" spans="1:12">
      <c r="A226" t="s">
        <v>509</v>
      </c>
      <c r="B226" t="s">
        <v>437</v>
      </c>
      <c r="C226" t="s">
        <v>467</v>
      </c>
      <c r="D226" t="s">
        <v>152</v>
      </c>
      <c r="E226" t="s">
        <v>41</v>
      </c>
      <c r="F226" t="s">
        <v>26</v>
      </c>
      <c r="G226" t="s">
        <v>27</v>
      </c>
      <c r="H226" t="s">
        <v>28</v>
      </c>
      <c r="I226">
        <v>2</v>
      </c>
      <c r="J226">
        <v>65141</v>
      </c>
      <c r="K226">
        <v>0</v>
      </c>
      <c r="L226" t="s">
        <v>51</v>
      </c>
    </row>
    <row r="227" spans="1:12">
      <c r="A227" t="s">
        <v>510</v>
      </c>
      <c r="B227" t="s">
        <v>122</v>
      </c>
      <c r="C227" t="s">
        <v>89</v>
      </c>
      <c r="D227" t="s">
        <v>135</v>
      </c>
      <c r="E227" t="s">
        <v>33</v>
      </c>
      <c r="F227" t="s">
        <v>243</v>
      </c>
      <c r="G227" t="s">
        <v>34</v>
      </c>
      <c r="H227" t="s">
        <v>35</v>
      </c>
      <c r="I227">
        <v>6</v>
      </c>
      <c r="J227">
        <v>4600</v>
      </c>
      <c r="K227">
        <v>0.1</v>
      </c>
      <c r="L227" t="s">
        <v>51</v>
      </c>
    </row>
    <row r="228" spans="1:12">
      <c r="A228" t="s">
        <v>511</v>
      </c>
      <c r="B228" t="s">
        <v>122</v>
      </c>
      <c r="C228" t="s">
        <v>89</v>
      </c>
      <c r="D228" t="s">
        <v>350</v>
      </c>
      <c r="E228" t="s">
        <v>33</v>
      </c>
      <c r="F228" t="s">
        <v>26</v>
      </c>
      <c r="G228" t="s">
        <v>42</v>
      </c>
      <c r="H228" t="s">
        <v>154</v>
      </c>
      <c r="I228">
        <v>7</v>
      </c>
      <c r="J228">
        <v>2842</v>
      </c>
      <c r="K228">
        <v>0.02</v>
      </c>
      <c r="L228" t="s">
        <v>51</v>
      </c>
    </row>
    <row r="229" spans="1:12">
      <c r="A229" t="s">
        <v>512</v>
      </c>
      <c r="B229" t="s">
        <v>151</v>
      </c>
      <c r="C229" t="s">
        <v>74</v>
      </c>
      <c r="D229" t="s">
        <v>66</v>
      </c>
      <c r="E229" t="s">
        <v>153</v>
      </c>
      <c r="F229" t="s">
        <v>94</v>
      </c>
      <c r="G229" t="s">
        <v>49</v>
      </c>
      <c r="H229" t="s">
        <v>50</v>
      </c>
      <c r="I229">
        <v>2</v>
      </c>
      <c r="J229">
        <v>3086</v>
      </c>
      <c r="K229">
        <v>0.02</v>
      </c>
      <c r="L229" t="s">
        <v>36</v>
      </c>
    </row>
    <row r="230" spans="1:12">
      <c r="A230" t="s">
        <v>513</v>
      </c>
      <c r="B230" t="s">
        <v>143</v>
      </c>
      <c r="C230" t="s">
        <v>54</v>
      </c>
      <c r="D230" t="s">
        <v>130</v>
      </c>
      <c r="E230" t="s">
        <v>25</v>
      </c>
      <c r="F230" t="s">
        <v>26</v>
      </c>
      <c r="G230" t="s">
        <v>27</v>
      </c>
      <c r="H230" t="s">
        <v>141</v>
      </c>
      <c r="I230">
        <v>6</v>
      </c>
      <c r="J230">
        <v>49643</v>
      </c>
      <c r="K230">
        <v>0.08</v>
      </c>
      <c r="L230" t="s">
        <v>51</v>
      </c>
    </row>
    <row r="231" spans="1:12">
      <c r="A231" t="s">
        <v>514</v>
      </c>
      <c r="B231" t="s">
        <v>140</v>
      </c>
      <c r="C231" t="s">
        <v>89</v>
      </c>
      <c r="D231" t="s">
        <v>47</v>
      </c>
      <c r="E231" t="s">
        <v>41</v>
      </c>
      <c r="F231" t="s">
        <v>48</v>
      </c>
      <c r="G231" t="s">
        <v>61</v>
      </c>
      <c r="H231" t="s">
        <v>62</v>
      </c>
      <c r="I231">
        <v>5</v>
      </c>
      <c r="J231">
        <v>23999</v>
      </c>
      <c r="K231">
        <v>0.02</v>
      </c>
      <c r="L231" t="s">
        <v>51</v>
      </c>
    </row>
    <row r="232" spans="1:12">
      <c r="A232" t="s">
        <v>515</v>
      </c>
      <c r="B232" t="s">
        <v>516</v>
      </c>
      <c r="C232" t="s">
        <v>110</v>
      </c>
      <c r="D232" t="s">
        <v>114</v>
      </c>
      <c r="E232" t="s">
        <v>25</v>
      </c>
      <c r="F232" t="s">
        <v>26</v>
      </c>
      <c r="G232" t="s">
        <v>61</v>
      </c>
      <c r="H232" t="s">
        <v>75</v>
      </c>
      <c r="I232">
        <v>8</v>
      </c>
      <c r="J232">
        <v>25030</v>
      </c>
      <c r="K232">
        <v>0.05</v>
      </c>
      <c r="L232" t="s">
        <v>51</v>
      </c>
    </row>
    <row r="233" spans="1:12">
      <c r="A233" t="s">
        <v>517</v>
      </c>
      <c r="B233" t="s">
        <v>518</v>
      </c>
      <c r="C233" t="s">
        <v>281</v>
      </c>
      <c r="D233" t="s">
        <v>209</v>
      </c>
      <c r="E233" t="s">
        <v>25</v>
      </c>
      <c r="F233" t="s">
        <v>26</v>
      </c>
      <c r="G233" t="s">
        <v>27</v>
      </c>
      <c r="H233" t="s">
        <v>141</v>
      </c>
      <c r="I233">
        <v>3</v>
      </c>
      <c r="J233">
        <v>60762</v>
      </c>
      <c r="K233">
        <v>0.05</v>
      </c>
      <c r="L233" t="s">
        <v>51</v>
      </c>
    </row>
    <row r="234" spans="1:12">
      <c r="A234" t="s">
        <v>519</v>
      </c>
      <c r="B234" t="s">
        <v>520</v>
      </c>
      <c r="C234" t="s">
        <v>110</v>
      </c>
      <c r="D234" t="s">
        <v>32</v>
      </c>
      <c r="E234" t="s">
        <v>41</v>
      </c>
      <c r="F234" t="s">
        <v>48</v>
      </c>
      <c r="G234" t="s">
        <v>27</v>
      </c>
      <c r="H234" t="s">
        <v>117</v>
      </c>
      <c r="I234">
        <v>5</v>
      </c>
      <c r="J234">
        <v>70223</v>
      </c>
      <c r="K234">
        <v>0.15</v>
      </c>
      <c r="L234" t="s">
        <v>57</v>
      </c>
    </row>
    <row r="235" spans="1:12">
      <c r="A235" t="s">
        <v>521</v>
      </c>
      <c r="B235" t="s">
        <v>96</v>
      </c>
      <c r="C235" t="s">
        <v>110</v>
      </c>
      <c r="D235" t="s">
        <v>66</v>
      </c>
      <c r="E235" t="s">
        <v>41</v>
      </c>
      <c r="F235" t="s">
        <v>94</v>
      </c>
      <c r="G235" t="s">
        <v>49</v>
      </c>
      <c r="H235" t="s">
        <v>50</v>
      </c>
      <c r="I235">
        <v>8</v>
      </c>
      <c r="J235">
        <v>2430</v>
      </c>
      <c r="K235">
        <v>0.15</v>
      </c>
      <c r="L235" t="s">
        <v>57</v>
      </c>
    </row>
    <row r="236" spans="1:12">
      <c r="A236" t="s">
        <v>522</v>
      </c>
      <c r="B236" t="s">
        <v>523</v>
      </c>
      <c r="C236" t="s">
        <v>23</v>
      </c>
      <c r="D236" t="s">
        <v>209</v>
      </c>
      <c r="E236" t="s">
        <v>33</v>
      </c>
      <c r="F236" t="s">
        <v>48</v>
      </c>
      <c r="G236" t="s">
        <v>49</v>
      </c>
      <c r="H236" t="s">
        <v>83</v>
      </c>
      <c r="I236">
        <v>2</v>
      </c>
      <c r="J236">
        <v>2215</v>
      </c>
      <c r="K236">
        <v>0.08</v>
      </c>
      <c r="L236" t="s">
        <v>51</v>
      </c>
    </row>
    <row r="237" spans="1:12">
      <c r="A237" t="s">
        <v>524</v>
      </c>
      <c r="B237" t="s">
        <v>525</v>
      </c>
      <c r="C237" t="s">
        <v>74</v>
      </c>
      <c r="D237" t="s">
        <v>152</v>
      </c>
      <c r="E237" t="s">
        <v>33</v>
      </c>
      <c r="F237" t="s">
        <v>94</v>
      </c>
      <c r="G237" t="s">
        <v>61</v>
      </c>
      <c r="H237" t="s">
        <v>75</v>
      </c>
      <c r="I237">
        <v>6</v>
      </c>
      <c r="J237">
        <v>26026</v>
      </c>
      <c r="K237">
        <v>0.15</v>
      </c>
      <c r="L237" t="s">
        <v>36</v>
      </c>
    </row>
    <row r="238" spans="1:12">
      <c r="A238" t="s">
        <v>526</v>
      </c>
      <c r="B238" t="s">
        <v>140</v>
      </c>
      <c r="C238" t="s">
        <v>54</v>
      </c>
      <c r="D238" t="s">
        <v>350</v>
      </c>
      <c r="E238" t="s">
        <v>41</v>
      </c>
      <c r="F238" t="s">
        <v>26</v>
      </c>
      <c r="G238" t="s">
        <v>61</v>
      </c>
      <c r="H238" t="s">
        <v>90</v>
      </c>
      <c r="I238">
        <v>3</v>
      </c>
      <c r="J238">
        <v>18346</v>
      </c>
      <c r="K238" t="s">
        <v>122</v>
      </c>
      <c r="L238" t="s">
        <v>51</v>
      </c>
    </row>
    <row r="239" spans="1:12">
      <c r="A239" t="s">
        <v>527</v>
      </c>
      <c r="B239" t="s">
        <v>528</v>
      </c>
      <c r="C239" t="s">
        <v>46</v>
      </c>
      <c r="D239" t="s">
        <v>71</v>
      </c>
      <c r="E239" t="s">
        <v>33</v>
      </c>
      <c r="F239" t="s">
        <v>26</v>
      </c>
      <c r="G239" t="s">
        <v>42</v>
      </c>
      <c r="H239" t="s">
        <v>67</v>
      </c>
      <c r="I239">
        <v>6</v>
      </c>
      <c r="J239">
        <v>2937</v>
      </c>
      <c r="K239" t="s">
        <v>122</v>
      </c>
      <c r="L239" t="s">
        <v>36</v>
      </c>
    </row>
    <row r="240" spans="1:12">
      <c r="A240" t="s">
        <v>529</v>
      </c>
      <c r="B240" t="s">
        <v>92</v>
      </c>
      <c r="C240" t="s">
        <v>46</v>
      </c>
      <c r="D240" t="s">
        <v>219</v>
      </c>
      <c r="E240" t="s">
        <v>41</v>
      </c>
      <c r="F240" t="s">
        <v>48</v>
      </c>
      <c r="G240" t="s">
        <v>61</v>
      </c>
      <c r="H240" t="s">
        <v>62</v>
      </c>
      <c r="I240">
        <v>4</v>
      </c>
      <c r="J240">
        <v>19694</v>
      </c>
      <c r="K240">
        <v>0.1</v>
      </c>
      <c r="L240" t="s">
        <v>57</v>
      </c>
    </row>
    <row r="241" spans="1:12">
      <c r="A241" t="s">
        <v>530</v>
      </c>
      <c r="B241" t="s">
        <v>531</v>
      </c>
      <c r="C241" t="s">
        <v>74</v>
      </c>
      <c r="D241" t="s">
        <v>269</v>
      </c>
      <c r="E241" t="s">
        <v>41</v>
      </c>
      <c r="F241" t="s">
        <v>26</v>
      </c>
      <c r="G241" t="s">
        <v>42</v>
      </c>
      <c r="H241" t="s">
        <v>43</v>
      </c>
      <c r="I241">
        <v>5</v>
      </c>
      <c r="J241">
        <v>2112</v>
      </c>
      <c r="K241">
        <v>0.08</v>
      </c>
      <c r="L241" t="s">
        <v>57</v>
      </c>
    </row>
    <row r="242" spans="1:12">
      <c r="A242" t="s">
        <v>532</v>
      </c>
      <c r="B242" t="s">
        <v>533</v>
      </c>
      <c r="C242" t="s">
        <v>39</v>
      </c>
      <c r="D242" t="s">
        <v>105</v>
      </c>
      <c r="E242" t="s">
        <v>41</v>
      </c>
      <c r="F242" t="s">
        <v>48</v>
      </c>
      <c r="G242" t="s">
        <v>34</v>
      </c>
      <c r="H242" t="s">
        <v>35</v>
      </c>
      <c r="I242">
        <v>7</v>
      </c>
      <c r="J242" t="s">
        <v>244</v>
      </c>
      <c r="K242">
        <v>0.02</v>
      </c>
      <c r="L242" t="s">
        <v>57</v>
      </c>
    </row>
    <row r="243" spans="1:12">
      <c r="A243" t="s">
        <v>534</v>
      </c>
      <c r="B243" t="s">
        <v>396</v>
      </c>
      <c r="C243" t="s">
        <v>23</v>
      </c>
      <c r="D243" t="s">
        <v>24</v>
      </c>
      <c r="E243" t="s">
        <v>41</v>
      </c>
      <c r="F243" t="s">
        <v>94</v>
      </c>
      <c r="G243" t="s">
        <v>42</v>
      </c>
      <c r="H243" t="s">
        <v>67</v>
      </c>
      <c r="I243">
        <v>1</v>
      </c>
      <c r="J243" t="s">
        <v>122</v>
      </c>
      <c r="K243">
        <v>0</v>
      </c>
      <c r="L243" t="s">
        <v>51</v>
      </c>
    </row>
    <row r="244" spans="1:12">
      <c r="A244" t="s">
        <v>535</v>
      </c>
      <c r="B244" t="s">
        <v>170</v>
      </c>
      <c r="C244" t="s">
        <v>46</v>
      </c>
      <c r="D244" t="s">
        <v>60</v>
      </c>
      <c r="E244" t="s">
        <v>33</v>
      </c>
      <c r="F244" t="s">
        <v>26</v>
      </c>
      <c r="G244" t="s">
        <v>34</v>
      </c>
      <c r="H244" t="s">
        <v>98</v>
      </c>
      <c r="I244">
        <v>7</v>
      </c>
      <c r="J244">
        <v>1633</v>
      </c>
      <c r="K244">
        <v>0.15</v>
      </c>
      <c r="L244" t="s">
        <v>51</v>
      </c>
    </row>
    <row r="245" spans="1:12">
      <c r="A245" t="s">
        <v>536</v>
      </c>
      <c r="B245" t="s">
        <v>537</v>
      </c>
      <c r="C245" t="s">
        <v>39</v>
      </c>
      <c r="D245" t="s">
        <v>200</v>
      </c>
      <c r="E245" t="s">
        <v>25</v>
      </c>
      <c r="F245" t="s">
        <v>26</v>
      </c>
      <c r="G245" t="s">
        <v>34</v>
      </c>
      <c r="H245" t="s">
        <v>35</v>
      </c>
      <c r="I245">
        <v>6</v>
      </c>
      <c r="J245" t="s">
        <v>122</v>
      </c>
      <c r="K245">
        <v>0.08</v>
      </c>
      <c r="L245" t="s">
        <v>29</v>
      </c>
    </row>
    <row r="246" spans="1:12">
      <c r="A246" t="s">
        <v>538</v>
      </c>
      <c r="B246" t="s">
        <v>197</v>
      </c>
      <c r="C246" t="s">
        <v>46</v>
      </c>
      <c r="D246" t="s">
        <v>219</v>
      </c>
      <c r="E246" t="s">
        <v>25</v>
      </c>
      <c r="F246" t="s">
        <v>48</v>
      </c>
      <c r="G246" t="s">
        <v>42</v>
      </c>
      <c r="H246" t="s">
        <v>154</v>
      </c>
      <c r="I246">
        <v>3</v>
      </c>
      <c r="J246">
        <v>1185</v>
      </c>
      <c r="K246">
        <v>0.15</v>
      </c>
      <c r="L246" t="s">
        <v>51</v>
      </c>
    </row>
    <row r="247" spans="1:12">
      <c r="A247" t="s">
        <v>539</v>
      </c>
      <c r="B247" t="s">
        <v>540</v>
      </c>
      <c r="C247" t="s">
        <v>23</v>
      </c>
      <c r="D247" t="s">
        <v>79</v>
      </c>
      <c r="E247" t="s">
        <v>41</v>
      </c>
      <c r="F247" t="s">
        <v>94</v>
      </c>
      <c r="G247" t="s">
        <v>27</v>
      </c>
      <c r="H247" t="s">
        <v>28</v>
      </c>
      <c r="I247">
        <v>4</v>
      </c>
      <c r="J247">
        <v>45673</v>
      </c>
      <c r="K247">
        <v>0.02</v>
      </c>
      <c r="L247" t="s">
        <v>36</v>
      </c>
    </row>
    <row r="248" spans="1:12">
      <c r="A248" t="s">
        <v>541</v>
      </c>
      <c r="B248" t="s">
        <v>265</v>
      </c>
      <c r="C248" t="s">
        <v>39</v>
      </c>
      <c r="D248" t="s">
        <v>32</v>
      </c>
      <c r="E248" t="s">
        <v>41</v>
      </c>
      <c r="F248" t="s">
        <v>48</v>
      </c>
      <c r="G248" t="s">
        <v>49</v>
      </c>
      <c r="H248" t="s">
        <v>249</v>
      </c>
      <c r="I248">
        <v>3</v>
      </c>
      <c r="J248">
        <v>7219</v>
      </c>
      <c r="K248">
        <v>0.08</v>
      </c>
      <c r="L248" t="s">
        <v>36</v>
      </c>
    </row>
    <row r="249" spans="1:12">
      <c r="A249" t="s">
        <v>542</v>
      </c>
      <c r="B249" t="s">
        <v>415</v>
      </c>
      <c r="C249" t="s">
        <v>23</v>
      </c>
      <c r="D249" t="s">
        <v>269</v>
      </c>
      <c r="E249" t="s">
        <v>33</v>
      </c>
      <c r="F249" t="s">
        <v>48</v>
      </c>
      <c r="G249" t="s">
        <v>42</v>
      </c>
      <c r="H249" t="s">
        <v>67</v>
      </c>
      <c r="I249">
        <v>7</v>
      </c>
      <c r="J249">
        <v>2518</v>
      </c>
      <c r="K249">
        <v>0.05</v>
      </c>
      <c r="L249" t="s">
        <v>29</v>
      </c>
    </row>
    <row r="250" spans="1:12">
      <c r="A250" t="s">
        <v>543</v>
      </c>
      <c r="B250" t="s">
        <v>188</v>
      </c>
      <c r="C250" t="s">
        <v>46</v>
      </c>
      <c r="D250" t="s">
        <v>159</v>
      </c>
      <c r="E250" t="s">
        <v>33</v>
      </c>
      <c r="F250" t="s">
        <v>26</v>
      </c>
      <c r="G250" t="s">
        <v>61</v>
      </c>
      <c r="H250" t="s">
        <v>75</v>
      </c>
      <c r="I250">
        <v>2</v>
      </c>
      <c r="J250">
        <v>20096</v>
      </c>
      <c r="K250">
        <v>0.02</v>
      </c>
      <c r="L250" t="s">
        <v>29</v>
      </c>
    </row>
    <row r="251" spans="1:12">
      <c r="A251" t="s">
        <v>544</v>
      </c>
      <c r="B251" t="s">
        <v>545</v>
      </c>
      <c r="C251" t="s">
        <v>70</v>
      </c>
      <c r="D251" t="s">
        <v>66</v>
      </c>
      <c r="E251" t="s">
        <v>41</v>
      </c>
      <c r="F251" t="s">
        <v>48</v>
      </c>
      <c r="G251" t="s">
        <v>42</v>
      </c>
      <c r="H251" t="s">
        <v>43</v>
      </c>
      <c r="I251">
        <v>8</v>
      </c>
      <c r="J251">
        <v>916</v>
      </c>
      <c r="K251">
        <v>0.15</v>
      </c>
      <c r="L251" t="s">
        <v>51</v>
      </c>
    </row>
    <row r="252" spans="1:12">
      <c r="A252" t="s">
        <v>546</v>
      </c>
      <c r="B252" t="s">
        <v>167</v>
      </c>
      <c r="C252" t="s">
        <v>46</v>
      </c>
      <c r="D252" t="s">
        <v>114</v>
      </c>
      <c r="E252" t="s">
        <v>41</v>
      </c>
      <c r="F252" t="s">
        <v>26</v>
      </c>
      <c r="G252" t="s">
        <v>27</v>
      </c>
      <c r="H252" t="s">
        <v>28</v>
      </c>
      <c r="I252">
        <v>8</v>
      </c>
      <c r="J252">
        <v>52807</v>
      </c>
      <c r="K252">
        <v>0.08</v>
      </c>
      <c r="L252" t="s">
        <v>51</v>
      </c>
    </row>
    <row r="253" spans="1:12">
      <c r="A253" t="s">
        <v>547</v>
      </c>
      <c r="B253" t="s">
        <v>439</v>
      </c>
      <c r="C253" t="s">
        <v>54</v>
      </c>
      <c r="D253" t="s">
        <v>209</v>
      </c>
      <c r="E253" t="s">
        <v>25</v>
      </c>
      <c r="F253" t="s">
        <v>26</v>
      </c>
      <c r="G253" t="s">
        <v>42</v>
      </c>
      <c r="H253" t="s">
        <v>43</v>
      </c>
      <c r="I253">
        <v>1</v>
      </c>
      <c r="J253">
        <v>1865</v>
      </c>
      <c r="K253">
        <v>0</v>
      </c>
      <c r="L253" t="s">
        <v>57</v>
      </c>
    </row>
    <row r="254" spans="1:12">
      <c r="A254" t="s">
        <v>548</v>
      </c>
      <c r="B254" t="s">
        <v>549</v>
      </c>
      <c r="C254" t="s">
        <v>70</v>
      </c>
      <c r="D254" t="s">
        <v>135</v>
      </c>
      <c r="E254" t="s">
        <v>194</v>
      </c>
      <c r="F254" t="s">
        <v>94</v>
      </c>
      <c r="G254" t="s">
        <v>27</v>
      </c>
      <c r="H254" t="s">
        <v>141</v>
      </c>
      <c r="I254">
        <v>1</v>
      </c>
      <c r="J254">
        <v>67124</v>
      </c>
      <c r="K254">
        <v>0.08</v>
      </c>
      <c r="L254" t="s">
        <v>36</v>
      </c>
    </row>
    <row r="255" spans="1:12">
      <c r="A255" t="s">
        <v>550</v>
      </c>
      <c r="B255" t="s">
        <v>551</v>
      </c>
      <c r="C255" t="s">
        <v>89</v>
      </c>
      <c r="D255" t="s">
        <v>82</v>
      </c>
      <c r="E255" t="s">
        <v>25</v>
      </c>
      <c r="F255" t="s">
        <v>48</v>
      </c>
      <c r="G255" t="s">
        <v>34</v>
      </c>
      <c r="H255" t="s">
        <v>35</v>
      </c>
      <c r="I255">
        <v>2</v>
      </c>
      <c r="J255">
        <v>2852</v>
      </c>
      <c r="K255">
        <v>0.1</v>
      </c>
      <c r="L255" t="s">
        <v>51</v>
      </c>
    </row>
    <row r="256" spans="1:12">
      <c r="A256" t="s">
        <v>552</v>
      </c>
      <c r="B256" t="s">
        <v>553</v>
      </c>
      <c r="C256" t="s">
        <v>39</v>
      </c>
      <c r="D256" t="s">
        <v>24</v>
      </c>
      <c r="E256" t="s">
        <v>33</v>
      </c>
      <c r="F256" t="s">
        <v>26</v>
      </c>
      <c r="G256" t="s">
        <v>34</v>
      </c>
      <c r="H256" t="s">
        <v>145</v>
      </c>
      <c r="I256">
        <v>7</v>
      </c>
      <c r="J256">
        <v>3766</v>
      </c>
      <c r="K256">
        <v>0.05</v>
      </c>
      <c r="L256" t="s">
        <v>57</v>
      </c>
    </row>
    <row r="257" spans="1:12">
      <c r="A257" t="s">
        <v>554</v>
      </c>
      <c r="B257" t="s">
        <v>555</v>
      </c>
      <c r="C257" t="s">
        <v>23</v>
      </c>
      <c r="D257" t="s">
        <v>47</v>
      </c>
      <c r="E257" t="s">
        <v>41</v>
      </c>
      <c r="F257" t="s">
        <v>26</v>
      </c>
      <c r="G257" t="s">
        <v>49</v>
      </c>
      <c r="H257" t="s">
        <v>249</v>
      </c>
      <c r="I257">
        <v>5</v>
      </c>
      <c r="J257">
        <v>7114</v>
      </c>
      <c r="K257">
        <v>0.08</v>
      </c>
      <c r="L257" t="s">
        <v>29</v>
      </c>
    </row>
    <row r="258" spans="1:12">
      <c r="A258" t="s">
        <v>556</v>
      </c>
      <c r="B258" t="s">
        <v>557</v>
      </c>
      <c r="C258" t="s">
        <v>89</v>
      </c>
      <c r="D258" t="s">
        <v>152</v>
      </c>
      <c r="E258" t="s">
        <v>153</v>
      </c>
      <c r="F258" t="s">
        <v>48</v>
      </c>
      <c r="G258" t="s">
        <v>42</v>
      </c>
      <c r="H258" t="s">
        <v>154</v>
      </c>
      <c r="I258">
        <v>5</v>
      </c>
      <c r="J258">
        <v>1258</v>
      </c>
      <c r="K258">
        <v>0.05</v>
      </c>
      <c r="L258" t="s">
        <v>36</v>
      </c>
    </row>
    <row r="259" spans="1:12">
      <c r="A259" t="s">
        <v>558</v>
      </c>
      <c r="B259" t="s">
        <v>559</v>
      </c>
      <c r="C259" t="s">
        <v>23</v>
      </c>
      <c r="D259" t="s">
        <v>135</v>
      </c>
      <c r="E259" t="s">
        <v>33</v>
      </c>
      <c r="F259" t="s">
        <v>26</v>
      </c>
      <c r="G259" t="s">
        <v>61</v>
      </c>
      <c r="H259" t="s">
        <v>75</v>
      </c>
      <c r="I259">
        <v>5</v>
      </c>
      <c r="J259">
        <v>25392</v>
      </c>
      <c r="K259">
        <v>0.08</v>
      </c>
      <c r="L259" t="s">
        <v>51</v>
      </c>
    </row>
    <row r="260" spans="1:12">
      <c r="A260" t="s">
        <v>560</v>
      </c>
      <c r="B260" t="s">
        <v>561</v>
      </c>
      <c r="C260" t="s">
        <v>562</v>
      </c>
      <c r="D260" t="s">
        <v>302</v>
      </c>
      <c r="E260" t="s">
        <v>194</v>
      </c>
      <c r="F260" t="s">
        <v>26</v>
      </c>
      <c r="G260" t="s">
        <v>34</v>
      </c>
      <c r="H260" t="s">
        <v>145</v>
      </c>
      <c r="I260">
        <v>4</v>
      </c>
      <c r="J260">
        <v>4671</v>
      </c>
      <c r="K260">
        <v>0.05</v>
      </c>
      <c r="L260" t="s">
        <v>51</v>
      </c>
    </row>
    <row r="261" spans="1:12">
      <c r="A261" t="s">
        <v>563</v>
      </c>
      <c r="B261" t="s">
        <v>518</v>
      </c>
      <c r="C261" t="s">
        <v>39</v>
      </c>
      <c r="D261" t="s">
        <v>66</v>
      </c>
      <c r="E261" t="s">
        <v>33</v>
      </c>
      <c r="F261" t="s">
        <v>48</v>
      </c>
      <c r="G261" t="s">
        <v>27</v>
      </c>
      <c r="H261" t="s">
        <v>117</v>
      </c>
      <c r="I261">
        <v>5</v>
      </c>
      <c r="J261">
        <v>73993</v>
      </c>
      <c r="K261">
        <v>0</v>
      </c>
      <c r="L261" t="s">
        <v>51</v>
      </c>
    </row>
    <row r="262" spans="1:12">
      <c r="A262" t="s">
        <v>564</v>
      </c>
      <c r="B262" t="s">
        <v>257</v>
      </c>
      <c r="C262" t="s">
        <v>89</v>
      </c>
      <c r="D262" t="s">
        <v>79</v>
      </c>
      <c r="E262" t="s">
        <v>41</v>
      </c>
      <c r="F262" t="s">
        <v>243</v>
      </c>
      <c r="G262" t="s">
        <v>27</v>
      </c>
      <c r="H262" t="s">
        <v>28</v>
      </c>
      <c r="I262">
        <v>6</v>
      </c>
      <c r="J262">
        <v>78183</v>
      </c>
      <c r="K262">
        <v>0.08</v>
      </c>
      <c r="L262" t="s">
        <v>36</v>
      </c>
    </row>
    <row r="263" spans="1:12">
      <c r="A263" t="s">
        <v>565</v>
      </c>
      <c r="B263" t="s">
        <v>122</v>
      </c>
      <c r="C263" t="s">
        <v>46</v>
      </c>
      <c r="D263" t="s">
        <v>97</v>
      </c>
      <c r="E263" t="s">
        <v>25</v>
      </c>
      <c r="F263" t="s">
        <v>94</v>
      </c>
      <c r="G263" t="s">
        <v>61</v>
      </c>
      <c r="H263" t="s">
        <v>90</v>
      </c>
      <c r="I263">
        <v>3</v>
      </c>
      <c r="J263">
        <v>23794</v>
      </c>
      <c r="K263">
        <v>0.15</v>
      </c>
      <c r="L263" t="s">
        <v>57</v>
      </c>
    </row>
    <row r="264" spans="1:12">
      <c r="A264" t="s">
        <v>566</v>
      </c>
      <c r="B264" t="s">
        <v>435</v>
      </c>
      <c r="C264" t="s">
        <v>70</v>
      </c>
      <c r="D264" t="s">
        <v>97</v>
      </c>
      <c r="E264" t="s">
        <v>33</v>
      </c>
      <c r="F264" t="s">
        <v>48</v>
      </c>
      <c r="G264" t="s">
        <v>61</v>
      </c>
      <c r="H264" t="s">
        <v>75</v>
      </c>
      <c r="I264">
        <v>3</v>
      </c>
      <c r="J264">
        <v>17524</v>
      </c>
      <c r="K264">
        <v>0.1</v>
      </c>
      <c r="L264" t="s">
        <v>51</v>
      </c>
    </row>
    <row r="265" spans="1:12">
      <c r="A265" t="s">
        <v>567</v>
      </c>
      <c r="B265" t="s">
        <v>568</v>
      </c>
      <c r="C265" t="s">
        <v>110</v>
      </c>
      <c r="D265" t="s">
        <v>125</v>
      </c>
      <c r="E265" t="s">
        <v>41</v>
      </c>
      <c r="F265" t="s">
        <v>94</v>
      </c>
      <c r="G265" t="s">
        <v>34</v>
      </c>
      <c r="H265" t="s">
        <v>145</v>
      </c>
      <c r="I265">
        <v>5</v>
      </c>
      <c r="J265">
        <v>4546</v>
      </c>
      <c r="K265">
        <v>0.05</v>
      </c>
      <c r="L265" t="s">
        <v>51</v>
      </c>
    </row>
    <row r="266" spans="1:12">
      <c r="A266" t="s">
        <v>569</v>
      </c>
      <c r="B266" t="s">
        <v>570</v>
      </c>
      <c r="C266" t="s">
        <v>70</v>
      </c>
      <c r="D266" t="s">
        <v>47</v>
      </c>
      <c r="E266" t="s">
        <v>41</v>
      </c>
      <c r="F266" t="s">
        <v>184</v>
      </c>
      <c r="G266" t="s">
        <v>27</v>
      </c>
      <c r="H266" t="s">
        <v>28</v>
      </c>
      <c r="I266">
        <v>1</v>
      </c>
      <c r="J266">
        <v>60390</v>
      </c>
      <c r="K266">
        <v>0</v>
      </c>
      <c r="L266" t="s">
        <v>51</v>
      </c>
    </row>
    <row r="267" spans="1:12">
      <c r="A267" t="s">
        <v>571</v>
      </c>
      <c r="B267" t="s">
        <v>572</v>
      </c>
      <c r="C267" t="s">
        <v>46</v>
      </c>
      <c r="D267" t="s">
        <v>47</v>
      </c>
      <c r="E267" t="s">
        <v>25</v>
      </c>
      <c r="F267" t="s">
        <v>94</v>
      </c>
      <c r="G267" t="s">
        <v>34</v>
      </c>
      <c r="H267" t="s">
        <v>35</v>
      </c>
      <c r="I267">
        <v>7</v>
      </c>
      <c r="J267">
        <v>5289</v>
      </c>
      <c r="K267">
        <v>0.05</v>
      </c>
      <c r="L267" t="s">
        <v>51</v>
      </c>
    </row>
    <row r="268" spans="1:12">
      <c r="A268" t="s">
        <v>573</v>
      </c>
      <c r="B268" t="s">
        <v>235</v>
      </c>
      <c r="C268" t="s">
        <v>74</v>
      </c>
      <c r="D268" t="s">
        <v>55</v>
      </c>
      <c r="E268" t="s">
        <v>25</v>
      </c>
      <c r="F268" t="s">
        <v>48</v>
      </c>
      <c r="G268" t="s">
        <v>34</v>
      </c>
      <c r="H268" t="s">
        <v>35</v>
      </c>
      <c r="I268">
        <v>6</v>
      </c>
      <c r="J268">
        <v>5254</v>
      </c>
      <c r="K268">
        <v>0.15</v>
      </c>
      <c r="L268" t="s">
        <v>57</v>
      </c>
    </row>
    <row r="269" spans="1:12">
      <c r="A269" t="s">
        <v>574</v>
      </c>
      <c r="B269" t="s">
        <v>575</v>
      </c>
      <c r="C269" t="s">
        <v>23</v>
      </c>
      <c r="D269" t="s">
        <v>93</v>
      </c>
      <c r="E269" t="s">
        <v>25</v>
      </c>
      <c r="F269" t="s">
        <v>243</v>
      </c>
      <c r="G269" t="s">
        <v>49</v>
      </c>
      <c r="H269" t="s">
        <v>50</v>
      </c>
      <c r="I269">
        <v>2</v>
      </c>
      <c r="J269" t="s">
        <v>244</v>
      </c>
      <c r="K269">
        <v>0.05</v>
      </c>
      <c r="L269" t="s">
        <v>51</v>
      </c>
    </row>
    <row r="270" spans="1:12">
      <c r="A270" t="s">
        <v>576</v>
      </c>
      <c r="B270" t="s">
        <v>174</v>
      </c>
      <c r="C270" t="s">
        <v>70</v>
      </c>
      <c r="D270" t="s">
        <v>47</v>
      </c>
      <c r="E270" t="s">
        <v>25</v>
      </c>
      <c r="F270" t="s">
        <v>94</v>
      </c>
      <c r="G270" t="s">
        <v>49</v>
      </c>
      <c r="H270" t="s">
        <v>83</v>
      </c>
      <c r="I270">
        <v>5</v>
      </c>
      <c r="J270">
        <v>6772</v>
      </c>
      <c r="K270">
        <v>0.05</v>
      </c>
      <c r="L270" t="s">
        <v>51</v>
      </c>
    </row>
    <row r="271" spans="1:12">
      <c r="A271" t="s">
        <v>577</v>
      </c>
      <c r="B271" t="s">
        <v>578</v>
      </c>
      <c r="C271" t="s">
        <v>70</v>
      </c>
      <c r="D271" t="s">
        <v>60</v>
      </c>
      <c r="E271" t="s">
        <v>41</v>
      </c>
      <c r="F271" t="s">
        <v>94</v>
      </c>
      <c r="G271" t="s">
        <v>34</v>
      </c>
      <c r="H271" t="s">
        <v>145</v>
      </c>
      <c r="I271">
        <v>8</v>
      </c>
      <c r="J271">
        <v>4210</v>
      </c>
      <c r="K271">
        <v>0.08</v>
      </c>
      <c r="L271" t="s">
        <v>29</v>
      </c>
    </row>
    <row r="272" spans="1:12">
      <c r="A272" t="s">
        <v>579</v>
      </c>
      <c r="B272" t="s">
        <v>580</v>
      </c>
      <c r="C272" t="s">
        <v>110</v>
      </c>
      <c r="D272" t="s">
        <v>24</v>
      </c>
      <c r="E272" t="s">
        <v>25</v>
      </c>
      <c r="F272" t="s">
        <v>48</v>
      </c>
      <c r="G272" t="s">
        <v>49</v>
      </c>
      <c r="H272" t="s">
        <v>249</v>
      </c>
      <c r="I272">
        <v>3</v>
      </c>
      <c r="J272">
        <v>3960</v>
      </c>
      <c r="K272">
        <v>0.02</v>
      </c>
      <c r="L272" t="s">
        <v>36</v>
      </c>
    </row>
    <row r="273" spans="1:12">
      <c r="A273" t="s">
        <v>581</v>
      </c>
      <c r="B273" t="s">
        <v>204</v>
      </c>
      <c r="C273" t="s">
        <v>74</v>
      </c>
      <c r="D273" t="s">
        <v>209</v>
      </c>
      <c r="E273" t="s">
        <v>41</v>
      </c>
      <c r="F273" t="s">
        <v>48</v>
      </c>
      <c r="G273" t="s">
        <v>27</v>
      </c>
      <c r="H273" t="s">
        <v>117</v>
      </c>
      <c r="I273">
        <v>7</v>
      </c>
      <c r="J273" t="s">
        <v>244</v>
      </c>
      <c r="K273">
        <v>0.15</v>
      </c>
      <c r="L273" t="s">
        <v>51</v>
      </c>
    </row>
    <row r="274" spans="1:12">
      <c r="A274" t="s">
        <v>582</v>
      </c>
      <c r="B274" t="s">
        <v>583</v>
      </c>
      <c r="C274" t="s">
        <v>70</v>
      </c>
      <c r="D274" t="s">
        <v>97</v>
      </c>
      <c r="E274" t="s">
        <v>153</v>
      </c>
      <c r="F274" t="s">
        <v>48</v>
      </c>
      <c r="G274" t="s">
        <v>42</v>
      </c>
      <c r="H274" t="s">
        <v>43</v>
      </c>
      <c r="I274">
        <v>6</v>
      </c>
      <c r="J274">
        <v>3233</v>
      </c>
      <c r="K274">
        <v>0.15</v>
      </c>
      <c r="L274" t="s">
        <v>36</v>
      </c>
    </row>
    <row r="275" spans="1:12">
      <c r="A275" t="s">
        <v>584</v>
      </c>
      <c r="B275" t="s">
        <v>122</v>
      </c>
      <c r="C275" t="s">
        <v>74</v>
      </c>
      <c r="D275" t="s">
        <v>71</v>
      </c>
      <c r="E275" t="s">
        <v>33</v>
      </c>
      <c r="F275" t="s">
        <v>94</v>
      </c>
      <c r="G275" t="s">
        <v>27</v>
      </c>
      <c r="H275" t="s">
        <v>141</v>
      </c>
      <c r="I275">
        <v>3</v>
      </c>
      <c r="J275">
        <v>54710</v>
      </c>
      <c r="K275">
        <v>0.02</v>
      </c>
      <c r="L275" t="s">
        <v>36</v>
      </c>
    </row>
    <row r="276" spans="1:12">
      <c r="A276" t="s">
        <v>585</v>
      </c>
      <c r="B276" t="s">
        <v>449</v>
      </c>
      <c r="C276" t="s">
        <v>89</v>
      </c>
      <c r="D276" t="s">
        <v>111</v>
      </c>
      <c r="E276" t="s">
        <v>25</v>
      </c>
      <c r="F276" t="s">
        <v>26</v>
      </c>
      <c r="G276" t="s">
        <v>49</v>
      </c>
      <c r="H276" t="s">
        <v>83</v>
      </c>
      <c r="I276">
        <v>8</v>
      </c>
      <c r="J276">
        <v>6341</v>
      </c>
      <c r="K276">
        <v>0.02</v>
      </c>
      <c r="L276" t="s">
        <v>36</v>
      </c>
    </row>
    <row r="277" spans="1:12">
      <c r="A277" t="s">
        <v>586</v>
      </c>
      <c r="B277" t="s">
        <v>587</v>
      </c>
      <c r="C277" t="s">
        <v>70</v>
      </c>
      <c r="D277" t="s">
        <v>127</v>
      </c>
      <c r="E277" t="s">
        <v>33</v>
      </c>
      <c r="F277" t="s">
        <v>94</v>
      </c>
      <c r="G277" t="s">
        <v>34</v>
      </c>
      <c r="H277" t="s">
        <v>98</v>
      </c>
      <c r="I277">
        <v>8</v>
      </c>
      <c r="J277">
        <v>3978</v>
      </c>
      <c r="K277">
        <v>0.02</v>
      </c>
      <c r="L277" t="s">
        <v>51</v>
      </c>
    </row>
    <row r="278" spans="1:12">
      <c r="A278" t="s">
        <v>588</v>
      </c>
      <c r="B278" t="s">
        <v>452</v>
      </c>
      <c r="C278" t="s">
        <v>89</v>
      </c>
      <c r="D278" t="s">
        <v>24</v>
      </c>
      <c r="E278" t="s">
        <v>25</v>
      </c>
      <c r="F278" t="s">
        <v>48</v>
      </c>
      <c r="G278" t="s">
        <v>42</v>
      </c>
      <c r="H278" t="s">
        <v>43</v>
      </c>
      <c r="I278">
        <v>5</v>
      </c>
      <c r="J278">
        <v>774</v>
      </c>
      <c r="K278">
        <v>0.05</v>
      </c>
      <c r="L278" t="s">
        <v>36</v>
      </c>
    </row>
    <row r="279" spans="1:12">
      <c r="A279" t="s">
        <v>589</v>
      </c>
      <c r="B279" t="s">
        <v>344</v>
      </c>
      <c r="C279" t="s">
        <v>39</v>
      </c>
      <c r="D279" t="s">
        <v>135</v>
      </c>
      <c r="E279" t="s">
        <v>41</v>
      </c>
      <c r="F279" t="s">
        <v>94</v>
      </c>
      <c r="G279" t="s">
        <v>49</v>
      </c>
      <c r="H279" t="s">
        <v>50</v>
      </c>
      <c r="I279">
        <v>2</v>
      </c>
      <c r="J279">
        <v>2367</v>
      </c>
      <c r="K279">
        <v>0.1</v>
      </c>
      <c r="L279" t="s">
        <v>51</v>
      </c>
    </row>
    <row r="280" spans="1:12">
      <c r="A280" t="s">
        <v>590</v>
      </c>
      <c r="B280" t="s">
        <v>591</v>
      </c>
      <c r="C280" t="s">
        <v>54</v>
      </c>
      <c r="D280" t="s">
        <v>71</v>
      </c>
      <c r="E280" t="s">
        <v>33</v>
      </c>
      <c r="F280" t="s">
        <v>48</v>
      </c>
      <c r="G280" t="s">
        <v>27</v>
      </c>
      <c r="H280" t="s">
        <v>28</v>
      </c>
      <c r="I280">
        <v>5</v>
      </c>
      <c r="J280">
        <v>67368</v>
      </c>
      <c r="K280" t="s">
        <v>122</v>
      </c>
      <c r="L280" t="s">
        <v>36</v>
      </c>
    </row>
    <row r="281" spans="1:12">
      <c r="A281" t="s">
        <v>592</v>
      </c>
      <c r="B281" t="s">
        <v>593</v>
      </c>
      <c r="C281" t="s">
        <v>39</v>
      </c>
      <c r="D281" t="s">
        <v>32</v>
      </c>
      <c r="E281" t="s">
        <v>33</v>
      </c>
      <c r="F281" t="s">
        <v>26</v>
      </c>
      <c r="G281" t="s">
        <v>27</v>
      </c>
      <c r="H281" t="s">
        <v>117</v>
      </c>
      <c r="I281">
        <v>7</v>
      </c>
      <c r="J281">
        <v>50556</v>
      </c>
      <c r="K281">
        <v>0</v>
      </c>
      <c r="L281" t="s">
        <v>29</v>
      </c>
    </row>
    <row r="282" spans="1:12">
      <c r="A282" t="s">
        <v>594</v>
      </c>
      <c r="B282" t="s">
        <v>595</v>
      </c>
      <c r="C282" t="s">
        <v>70</v>
      </c>
      <c r="D282" t="s">
        <v>285</v>
      </c>
      <c r="E282" t="s">
        <v>153</v>
      </c>
      <c r="F282" t="s">
        <v>94</v>
      </c>
      <c r="G282" t="s">
        <v>34</v>
      </c>
      <c r="H282" t="s">
        <v>145</v>
      </c>
      <c r="I282">
        <v>8</v>
      </c>
      <c r="J282">
        <v>2880</v>
      </c>
      <c r="K282">
        <v>0.15</v>
      </c>
      <c r="L282" t="s">
        <v>51</v>
      </c>
    </row>
    <row r="283" spans="1:12">
      <c r="A283" t="s">
        <v>596</v>
      </c>
      <c r="B283" t="s">
        <v>597</v>
      </c>
      <c r="C283" t="s">
        <v>54</v>
      </c>
      <c r="D283" t="s">
        <v>24</v>
      </c>
      <c r="E283" t="s">
        <v>25</v>
      </c>
      <c r="F283" t="s">
        <v>26</v>
      </c>
      <c r="G283" t="s">
        <v>27</v>
      </c>
      <c r="H283" t="s">
        <v>117</v>
      </c>
      <c r="I283">
        <v>1</v>
      </c>
      <c r="J283">
        <v>60816</v>
      </c>
      <c r="K283">
        <v>0.05</v>
      </c>
      <c r="L283" t="s">
        <v>51</v>
      </c>
    </row>
    <row r="284" spans="1:12">
      <c r="A284" t="s">
        <v>598</v>
      </c>
      <c r="B284" t="s">
        <v>599</v>
      </c>
      <c r="C284" t="s">
        <v>110</v>
      </c>
      <c r="D284" t="s">
        <v>200</v>
      </c>
      <c r="E284" t="s">
        <v>25</v>
      </c>
      <c r="F284" t="s">
        <v>94</v>
      </c>
      <c r="G284" t="s">
        <v>49</v>
      </c>
      <c r="H284" t="s">
        <v>249</v>
      </c>
      <c r="I284">
        <v>4</v>
      </c>
      <c r="J284">
        <v>5757</v>
      </c>
      <c r="K284">
        <v>0</v>
      </c>
      <c r="L284" t="s">
        <v>51</v>
      </c>
    </row>
    <row r="285" spans="1:12">
      <c r="A285" t="s">
        <v>600</v>
      </c>
      <c r="B285" t="s">
        <v>176</v>
      </c>
      <c r="C285" t="s">
        <v>39</v>
      </c>
      <c r="D285" t="s">
        <v>82</v>
      </c>
      <c r="E285" t="s">
        <v>41</v>
      </c>
      <c r="F285" t="s">
        <v>26</v>
      </c>
      <c r="G285" t="s">
        <v>49</v>
      </c>
      <c r="H285" t="s">
        <v>83</v>
      </c>
      <c r="I285">
        <v>8</v>
      </c>
      <c r="J285">
        <v>7144</v>
      </c>
      <c r="K285">
        <v>0.15</v>
      </c>
      <c r="L285" t="s">
        <v>29</v>
      </c>
    </row>
    <row r="286" spans="1:12">
      <c r="A286" t="s">
        <v>601</v>
      </c>
      <c r="B286" t="s">
        <v>531</v>
      </c>
      <c r="C286" t="s">
        <v>54</v>
      </c>
      <c r="D286" t="s">
        <v>32</v>
      </c>
      <c r="E286" t="s">
        <v>25</v>
      </c>
      <c r="F286" t="s">
        <v>26</v>
      </c>
      <c r="G286" t="s">
        <v>42</v>
      </c>
      <c r="H286" t="s">
        <v>67</v>
      </c>
      <c r="I286">
        <v>3</v>
      </c>
      <c r="J286">
        <v>864</v>
      </c>
      <c r="K286">
        <v>0</v>
      </c>
      <c r="L286" t="s">
        <v>51</v>
      </c>
    </row>
    <row r="287" spans="1:12">
      <c r="A287" t="s">
        <v>602</v>
      </c>
      <c r="B287" t="s">
        <v>591</v>
      </c>
      <c r="C287" t="s">
        <v>74</v>
      </c>
      <c r="D287" t="s">
        <v>24</v>
      </c>
      <c r="E287" t="s">
        <v>33</v>
      </c>
      <c r="F287" t="s">
        <v>26</v>
      </c>
      <c r="G287" t="s">
        <v>42</v>
      </c>
      <c r="H287" t="s">
        <v>154</v>
      </c>
      <c r="I287">
        <v>3</v>
      </c>
      <c r="J287">
        <v>2245</v>
      </c>
      <c r="K287">
        <v>0.02</v>
      </c>
      <c r="L287" t="s">
        <v>57</v>
      </c>
    </row>
    <row r="288" spans="1:12">
      <c r="A288" t="s">
        <v>603</v>
      </c>
      <c r="B288" t="s">
        <v>122</v>
      </c>
      <c r="C288" t="s">
        <v>89</v>
      </c>
      <c r="D288" t="s">
        <v>191</v>
      </c>
      <c r="E288" t="s">
        <v>41</v>
      </c>
      <c r="F288" t="s">
        <v>48</v>
      </c>
      <c r="G288" t="s">
        <v>61</v>
      </c>
      <c r="H288" t="s">
        <v>90</v>
      </c>
      <c r="I288">
        <v>2</v>
      </c>
      <c r="J288">
        <v>19120</v>
      </c>
      <c r="K288">
        <v>0.02</v>
      </c>
      <c r="L288" t="s">
        <v>57</v>
      </c>
    </row>
    <row r="289" spans="1:12">
      <c r="A289" t="s">
        <v>604</v>
      </c>
      <c r="B289" t="s">
        <v>605</v>
      </c>
      <c r="C289" t="s">
        <v>54</v>
      </c>
      <c r="D289" t="s">
        <v>159</v>
      </c>
      <c r="E289" t="s">
        <v>25</v>
      </c>
      <c r="F289" t="s">
        <v>94</v>
      </c>
      <c r="G289" t="s">
        <v>49</v>
      </c>
      <c r="H289" t="s">
        <v>50</v>
      </c>
      <c r="I289">
        <v>7</v>
      </c>
      <c r="J289">
        <v>4284</v>
      </c>
      <c r="K289">
        <v>0.02</v>
      </c>
      <c r="L289" t="s">
        <v>29</v>
      </c>
    </row>
    <row r="290" spans="1:12">
      <c r="A290" t="s">
        <v>606</v>
      </c>
      <c r="B290" t="s">
        <v>607</v>
      </c>
      <c r="C290" t="s">
        <v>110</v>
      </c>
      <c r="D290" t="s">
        <v>114</v>
      </c>
      <c r="E290" t="s">
        <v>41</v>
      </c>
      <c r="F290" t="s">
        <v>26</v>
      </c>
      <c r="G290" t="s">
        <v>27</v>
      </c>
      <c r="H290" t="s">
        <v>141</v>
      </c>
      <c r="I290">
        <v>5</v>
      </c>
      <c r="J290">
        <v>51471</v>
      </c>
      <c r="K290">
        <v>0.08</v>
      </c>
      <c r="L290" t="s">
        <v>51</v>
      </c>
    </row>
    <row r="291" spans="1:12">
      <c r="A291" t="s">
        <v>608</v>
      </c>
      <c r="B291" t="s">
        <v>204</v>
      </c>
      <c r="C291" t="s">
        <v>110</v>
      </c>
      <c r="D291" t="s">
        <v>135</v>
      </c>
      <c r="E291" t="s">
        <v>33</v>
      </c>
      <c r="F291" t="s">
        <v>48</v>
      </c>
      <c r="G291" t="s">
        <v>34</v>
      </c>
      <c r="H291" t="s">
        <v>145</v>
      </c>
      <c r="I291">
        <v>7</v>
      </c>
      <c r="J291">
        <v>2228</v>
      </c>
      <c r="K291">
        <v>0.08</v>
      </c>
      <c r="L291" t="s">
        <v>51</v>
      </c>
    </row>
    <row r="292" spans="1:12">
      <c r="A292" t="s">
        <v>609</v>
      </c>
      <c r="B292" t="s">
        <v>291</v>
      </c>
      <c r="C292" t="s">
        <v>39</v>
      </c>
      <c r="D292" t="s">
        <v>40</v>
      </c>
      <c r="E292" t="s">
        <v>41</v>
      </c>
      <c r="F292" t="s">
        <v>26</v>
      </c>
      <c r="G292" t="s">
        <v>27</v>
      </c>
      <c r="H292" t="s">
        <v>28</v>
      </c>
      <c r="I292">
        <v>4</v>
      </c>
      <c r="J292">
        <v>62911</v>
      </c>
      <c r="K292">
        <v>0.1</v>
      </c>
      <c r="L292" t="s">
        <v>57</v>
      </c>
    </row>
    <row r="293" spans="1:12">
      <c r="A293" t="s">
        <v>610</v>
      </c>
      <c r="B293" t="s">
        <v>611</v>
      </c>
      <c r="C293" t="s">
        <v>65</v>
      </c>
      <c r="D293" t="s">
        <v>82</v>
      </c>
      <c r="E293" t="s">
        <v>33</v>
      </c>
      <c r="F293" t="s">
        <v>26</v>
      </c>
      <c r="G293" t="s">
        <v>34</v>
      </c>
      <c r="H293" t="s">
        <v>145</v>
      </c>
      <c r="I293">
        <v>6</v>
      </c>
      <c r="J293">
        <v>3214</v>
      </c>
      <c r="K293">
        <v>0.02</v>
      </c>
      <c r="L293" t="s">
        <v>29</v>
      </c>
    </row>
    <row r="294" spans="1:12">
      <c r="A294" t="s">
        <v>612</v>
      </c>
      <c r="B294" t="s">
        <v>613</v>
      </c>
      <c r="C294" t="s">
        <v>89</v>
      </c>
      <c r="D294" t="s">
        <v>152</v>
      </c>
      <c r="E294" t="s">
        <v>25</v>
      </c>
      <c r="F294" t="s">
        <v>48</v>
      </c>
      <c r="G294" t="s">
        <v>27</v>
      </c>
      <c r="H294" t="s">
        <v>117</v>
      </c>
      <c r="I294">
        <v>6</v>
      </c>
      <c r="J294">
        <v>74175</v>
      </c>
      <c r="K294">
        <v>0.08</v>
      </c>
      <c r="L294" t="s">
        <v>51</v>
      </c>
    </row>
    <row r="295" spans="1:12">
      <c r="A295" t="s">
        <v>614</v>
      </c>
      <c r="B295" t="s">
        <v>312</v>
      </c>
      <c r="C295" t="s">
        <v>74</v>
      </c>
      <c r="D295" t="s">
        <v>79</v>
      </c>
      <c r="E295" t="s">
        <v>33</v>
      </c>
      <c r="F295" t="s">
        <v>26</v>
      </c>
      <c r="G295" t="s">
        <v>34</v>
      </c>
      <c r="H295" t="s">
        <v>35</v>
      </c>
      <c r="I295">
        <v>7</v>
      </c>
      <c r="J295">
        <v>1258</v>
      </c>
      <c r="K295">
        <v>0</v>
      </c>
      <c r="L295" t="s">
        <v>51</v>
      </c>
    </row>
    <row r="296" spans="1:12">
      <c r="A296" t="s">
        <v>615</v>
      </c>
      <c r="B296" t="s">
        <v>199</v>
      </c>
      <c r="C296" t="s">
        <v>70</v>
      </c>
      <c r="D296" t="s">
        <v>144</v>
      </c>
      <c r="E296" t="s">
        <v>41</v>
      </c>
      <c r="F296" t="s">
        <v>26</v>
      </c>
      <c r="G296" t="s">
        <v>34</v>
      </c>
      <c r="H296" t="s">
        <v>35</v>
      </c>
      <c r="I296">
        <v>1</v>
      </c>
      <c r="J296">
        <v>4918</v>
      </c>
      <c r="K296">
        <v>0.05</v>
      </c>
      <c r="L296" t="s">
        <v>29</v>
      </c>
    </row>
    <row r="297" spans="1:12">
      <c r="A297" t="s">
        <v>616</v>
      </c>
      <c r="B297" t="s">
        <v>372</v>
      </c>
      <c r="C297" t="s">
        <v>281</v>
      </c>
      <c r="D297" t="s">
        <v>125</v>
      </c>
      <c r="E297" t="s">
        <v>25</v>
      </c>
      <c r="F297" t="s">
        <v>26</v>
      </c>
      <c r="G297" t="s">
        <v>27</v>
      </c>
      <c r="H297" t="s">
        <v>117</v>
      </c>
      <c r="I297">
        <v>6</v>
      </c>
      <c r="J297">
        <v>72775</v>
      </c>
      <c r="K297">
        <v>0.05</v>
      </c>
      <c r="L297" t="s">
        <v>51</v>
      </c>
    </row>
    <row r="298" spans="1:12">
      <c r="A298" t="s">
        <v>617</v>
      </c>
      <c r="B298" t="s">
        <v>618</v>
      </c>
      <c r="C298" t="s">
        <v>23</v>
      </c>
      <c r="D298" t="s">
        <v>209</v>
      </c>
      <c r="E298" t="s">
        <v>56</v>
      </c>
      <c r="F298" t="s">
        <v>26</v>
      </c>
      <c r="G298" t="s">
        <v>49</v>
      </c>
      <c r="H298" t="s">
        <v>50</v>
      </c>
      <c r="I298">
        <v>1</v>
      </c>
      <c r="J298">
        <v>1997</v>
      </c>
      <c r="K298">
        <v>0.08</v>
      </c>
      <c r="L298" t="s">
        <v>51</v>
      </c>
    </row>
    <row r="299" spans="1:12">
      <c r="A299" t="s">
        <v>619</v>
      </c>
      <c r="B299" t="s">
        <v>620</v>
      </c>
      <c r="C299" t="s">
        <v>89</v>
      </c>
      <c r="D299" t="s">
        <v>138</v>
      </c>
      <c r="E299" t="s">
        <v>25</v>
      </c>
      <c r="F299" t="s">
        <v>48</v>
      </c>
      <c r="G299" t="s">
        <v>49</v>
      </c>
      <c r="H299" t="s">
        <v>50</v>
      </c>
      <c r="I299">
        <v>2</v>
      </c>
      <c r="J299">
        <v>6580</v>
      </c>
      <c r="K299">
        <v>0.05</v>
      </c>
      <c r="L299" t="s">
        <v>36</v>
      </c>
    </row>
    <row r="300" spans="1:12">
      <c r="A300" t="s">
        <v>621</v>
      </c>
      <c r="B300" t="s">
        <v>122</v>
      </c>
      <c r="C300" t="s">
        <v>46</v>
      </c>
      <c r="D300" t="s">
        <v>125</v>
      </c>
      <c r="E300" t="s">
        <v>25</v>
      </c>
      <c r="F300" t="s">
        <v>94</v>
      </c>
      <c r="G300" t="s">
        <v>42</v>
      </c>
      <c r="H300" t="s">
        <v>67</v>
      </c>
      <c r="I300">
        <v>7</v>
      </c>
      <c r="J300">
        <v>1222</v>
      </c>
      <c r="K300">
        <v>0.1</v>
      </c>
      <c r="L300" t="s">
        <v>36</v>
      </c>
    </row>
    <row r="301" spans="1:12">
      <c r="A301" t="s">
        <v>622</v>
      </c>
      <c r="B301" t="s">
        <v>417</v>
      </c>
      <c r="C301" t="s">
        <v>74</v>
      </c>
      <c r="D301" t="s">
        <v>219</v>
      </c>
      <c r="E301" t="s">
        <v>33</v>
      </c>
      <c r="F301" t="s">
        <v>94</v>
      </c>
      <c r="G301" t="s">
        <v>27</v>
      </c>
      <c r="H301" t="s">
        <v>141</v>
      </c>
      <c r="I301">
        <v>4</v>
      </c>
      <c r="J301">
        <v>57806</v>
      </c>
      <c r="K301">
        <v>0.15</v>
      </c>
      <c r="L301" t="s">
        <v>29</v>
      </c>
    </row>
    <row r="302" spans="1:12">
      <c r="A302" t="s">
        <v>623</v>
      </c>
      <c r="B302" t="s">
        <v>246</v>
      </c>
      <c r="C302" t="s">
        <v>23</v>
      </c>
      <c r="D302" t="s">
        <v>125</v>
      </c>
      <c r="E302" t="s">
        <v>25</v>
      </c>
      <c r="F302" t="s">
        <v>48</v>
      </c>
      <c r="G302" t="s">
        <v>61</v>
      </c>
      <c r="H302" t="s">
        <v>62</v>
      </c>
      <c r="I302">
        <v>7</v>
      </c>
      <c r="J302">
        <v>24753</v>
      </c>
      <c r="K302">
        <v>0.02</v>
      </c>
      <c r="L302" t="s">
        <v>51</v>
      </c>
    </row>
    <row r="303" spans="1:12">
      <c r="A303" t="s">
        <v>624</v>
      </c>
      <c r="B303" t="s">
        <v>625</v>
      </c>
      <c r="C303" t="s">
        <v>23</v>
      </c>
      <c r="D303" t="s">
        <v>66</v>
      </c>
      <c r="E303" t="s">
        <v>41</v>
      </c>
      <c r="F303" t="s">
        <v>94</v>
      </c>
      <c r="G303" t="s">
        <v>61</v>
      </c>
      <c r="H303" t="s">
        <v>75</v>
      </c>
      <c r="I303">
        <v>3</v>
      </c>
      <c r="J303">
        <v>14769</v>
      </c>
      <c r="K303">
        <v>0.08</v>
      </c>
      <c r="L303" t="s">
        <v>36</v>
      </c>
    </row>
    <row r="304" spans="1:12">
      <c r="A304" t="s">
        <v>626</v>
      </c>
      <c r="B304" t="s">
        <v>627</v>
      </c>
      <c r="C304" t="s">
        <v>46</v>
      </c>
      <c r="D304" t="s">
        <v>269</v>
      </c>
      <c r="E304" t="s">
        <v>33</v>
      </c>
      <c r="F304" t="s">
        <v>48</v>
      </c>
      <c r="G304" t="s">
        <v>34</v>
      </c>
      <c r="H304" t="s">
        <v>145</v>
      </c>
      <c r="I304">
        <v>3</v>
      </c>
      <c r="J304">
        <v>2749</v>
      </c>
      <c r="K304">
        <v>0.05</v>
      </c>
      <c r="L304" t="s">
        <v>51</v>
      </c>
    </row>
    <row r="305" spans="1:12">
      <c r="A305" t="s">
        <v>628</v>
      </c>
      <c r="B305" t="s">
        <v>629</v>
      </c>
      <c r="C305" t="s">
        <v>89</v>
      </c>
      <c r="D305" t="s">
        <v>219</v>
      </c>
      <c r="E305" t="s">
        <v>41</v>
      </c>
      <c r="F305" t="s">
        <v>94</v>
      </c>
      <c r="G305" t="s">
        <v>42</v>
      </c>
      <c r="H305" t="s">
        <v>67</v>
      </c>
      <c r="I305">
        <v>5</v>
      </c>
      <c r="J305">
        <v>2726</v>
      </c>
      <c r="K305">
        <v>0.1</v>
      </c>
      <c r="L305" t="s">
        <v>29</v>
      </c>
    </row>
    <row r="306" spans="1:12">
      <c r="A306" t="s">
        <v>630</v>
      </c>
      <c r="B306" t="s">
        <v>479</v>
      </c>
      <c r="C306" t="s">
        <v>70</v>
      </c>
      <c r="D306" t="s">
        <v>125</v>
      </c>
      <c r="E306" t="s">
        <v>41</v>
      </c>
      <c r="F306" t="s">
        <v>48</v>
      </c>
      <c r="G306" t="s">
        <v>49</v>
      </c>
      <c r="H306" t="s">
        <v>83</v>
      </c>
      <c r="I306">
        <v>6</v>
      </c>
      <c r="J306">
        <v>6588</v>
      </c>
      <c r="K306">
        <v>0.08</v>
      </c>
      <c r="L306" t="s">
        <v>29</v>
      </c>
    </row>
    <row r="307" spans="1:12">
      <c r="A307" t="s">
        <v>631</v>
      </c>
      <c r="B307" t="s">
        <v>632</v>
      </c>
      <c r="C307" t="s">
        <v>46</v>
      </c>
      <c r="D307" t="s">
        <v>32</v>
      </c>
      <c r="E307" t="s">
        <v>41</v>
      </c>
      <c r="F307" t="s">
        <v>26</v>
      </c>
      <c r="G307" t="s">
        <v>61</v>
      </c>
      <c r="H307" t="s">
        <v>75</v>
      </c>
      <c r="I307">
        <v>6</v>
      </c>
      <c r="J307">
        <v>20804</v>
      </c>
      <c r="K307">
        <v>0.02</v>
      </c>
      <c r="L307" t="s">
        <v>36</v>
      </c>
    </row>
    <row r="308" spans="1:12">
      <c r="A308" t="s">
        <v>633</v>
      </c>
      <c r="B308" t="s">
        <v>174</v>
      </c>
      <c r="C308" t="s">
        <v>74</v>
      </c>
      <c r="D308" t="s">
        <v>93</v>
      </c>
      <c r="E308" t="s">
        <v>25</v>
      </c>
      <c r="F308" t="s">
        <v>48</v>
      </c>
      <c r="G308" t="s">
        <v>27</v>
      </c>
      <c r="H308" t="s">
        <v>141</v>
      </c>
      <c r="I308">
        <v>4</v>
      </c>
      <c r="J308">
        <v>71050</v>
      </c>
      <c r="K308">
        <v>0.1</v>
      </c>
      <c r="L308" t="s">
        <v>57</v>
      </c>
    </row>
    <row r="309" spans="1:12">
      <c r="A309" t="s">
        <v>634</v>
      </c>
      <c r="B309" t="s">
        <v>635</v>
      </c>
      <c r="C309" t="s">
        <v>499</v>
      </c>
      <c r="D309" t="s">
        <v>219</v>
      </c>
      <c r="E309" t="s">
        <v>25</v>
      </c>
      <c r="F309" t="s">
        <v>94</v>
      </c>
      <c r="G309" t="s">
        <v>42</v>
      </c>
      <c r="H309" t="s">
        <v>154</v>
      </c>
      <c r="I309">
        <v>7</v>
      </c>
      <c r="J309">
        <v>2443</v>
      </c>
      <c r="K309">
        <v>0.15</v>
      </c>
      <c r="L309" t="s">
        <v>57</v>
      </c>
    </row>
    <row r="310" spans="1:12">
      <c r="A310" t="s">
        <v>636</v>
      </c>
      <c r="B310" t="s">
        <v>637</v>
      </c>
      <c r="C310" t="s">
        <v>70</v>
      </c>
      <c r="D310" t="s">
        <v>60</v>
      </c>
      <c r="E310" t="s">
        <v>33</v>
      </c>
      <c r="F310" t="s">
        <v>94</v>
      </c>
      <c r="G310" t="s">
        <v>34</v>
      </c>
      <c r="H310" t="s">
        <v>35</v>
      </c>
      <c r="I310">
        <v>8</v>
      </c>
      <c r="J310">
        <v>2655</v>
      </c>
      <c r="K310">
        <v>0</v>
      </c>
      <c r="L310" t="s">
        <v>51</v>
      </c>
    </row>
    <row r="311" spans="1:12">
      <c r="A311" t="s">
        <v>638</v>
      </c>
      <c r="B311" t="s">
        <v>639</v>
      </c>
      <c r="C311" t="s">
        <v>110</v>
      </c>
      <c r="D311" t="s">
        <v>93</v>
      </c>
      <c r="E311" t="s">
        <v>41</v>
      </c>
      <c r="F311" t="s">
        <v>48</v>
      </c>
      <c r="G311" t="s">
        <v>42</v>
      </c>
      <c r="H311" t="s">
        <v>67</v>
      </c>
      <c r="I311">
        <v>3</v>
      </c>
      <c r="J311">
        <v>3422</v>
      </c>
      <c r="K311">
        <v>0.1</v>
      </c>
      <c r="L311" t="s">
        <v>57</v>
      </c>
    </row>
    <row r="312" spans="1:12">
      <c r="A312" t="s">
        <v>640</v>
      </c>
      <c r="B312" t="s">
        <v>359</v>
      </c>
      <c r="C312" t="s">
        <v>70</v>
      </c>
      <c r="D312" t="s">
        <v>209</v>
      </c>
      <c r="E312" t="s">
        <v>25</v>
      </c>
      <c r="F312" t="s">
        <v>48</v>
      </c>
      <c r="G312" t="s">
        <v>34</v>
      </c>
      <c r="H312" t="s">
        <v>145</v>
      </c>
      <c r="I312">
        <v>7</v>
      </c>
      <c r="J312">
        <v>4403</v>
      </c>
      <c r="K312">
        <v>0.02</v>
      </c>
      <c r="L312" t="s">
        <v>51</v>
      </c>
    </row>
    <row r="313" spans="1:12">
      <c r="A313" t="s">
        <v>641</v>
      </c>
      <c r="B313" t="s">
        <v>124</v>
      </c>
      <c r="C313" t="s">
        <v>110</v>
      </c>
      <c r="D313" t="s">
        <v>269</v>
      </c>
      <c r="E313" t="s">
        <v>25</v>
      </c>
      <c r="F313" t="s">
        <v>26</v>
      </c>
      <c r="G313" t="s">
        <v>61</v>
      </c>
      <c r="H313" t="s">
        <v>62</v>
      </c>
      <c r="I313">
        <v>6</v>
      </c>
      <c r="J313">
        <v>12972</v>
      </c>
      <c r="K313">
        <v>0.08</v>
      </c>
      <c r="L313" t="s">
        <v>29</v>
      </c>
    </row>
    <row r="314" spans="1:12">
      <c r="A314" t="s">
        <v>642</v>
      </c>
      <c r="B314" t="s">
        <v>643</v>
      </c>
      <c r="C314" t="s">
        <v>89</v>
      </c>
      <c r="D314" t="s">
        <v>209</v>
      </c>
      <c r="E314" t="s">
        <v>25</v>
      </c>
      <c r="F314" t="s">
        <v>94</v>
      </c>
      <c r="G314" t="s">
        <v>42</v>
      </c>
      <c r="H314" t="s">
        <v>43</v>
      </c>
      <c r="I314">
        <v>8</v>
      </c>
      <c r="J314">
        <v>2492</v>
      </c>
      <c r="K314">
        <v>0.05</v>
      </c>
      <c r="L314" t="s">
        <v>51</v>
      </c>
    </row>
    <row r="315" spans="1:12">
      <c r="A315" t="s">
        <v>644</v>
      </c>
      <c r="B315" t="s">
        <v>297</v>
      </c>
      <c r="C315" t="s">
        <v>110</v>
      </c>
      <c r="D315" t="s">
        <v>32</v>
      </c>
      <c r="E315" t="s">
        <v>153</v>
      </c>
      <c r="F315" t="s">
        <v>48</v>
      </c>
      <c r="G315" t="s">
        <v>27</v>
      </c>
      <c r="H315" t="s">
        <v>117</v>
      </c>
      <c r="I315">
        <v>1</v>
      </c>
      <c r="J315">
        <v>70599</v>
      </c>
      <c r="K315">
        <v>0</v>
      </c>
      <c r="L315" t="s">
        <v>29</v>
      </c>
    </row>
    <row r="316" spans="1:12">
      <c r="A316" t="s">
        <v>645</v>
      </c>
      <c r="B316" t="s">
        <v>122</v>
      </c>
      <c r="C316" t="s">
        <v>70</v>
      </c>
      <c r="D316" t="s">
        <v>269</v>
      </c>
      <c r="E316" t="s">
        <v>25</v>
      </c>
      <c r="F316" t="s">
        <v>94</v>
      </c>
      <c r="G316" t="s">
        <v>61</v>
      </c>
      <c r="H316" t="s">
        <v>75</v>
      </c>
      <c r="I316">
        <v>4</v>
      </c>
      <c r="J316">
        <v>12528</v>
      </c>
      <c r="K316">
        <v>0.1</v>
      </c>
      <c r="L316" t="s">
        <v>51</v>
      </c>
    </row>
    <row r="317" spans="1:12">
      <c r="A317" t="s">
        <v>646</v>
      </c>
      <c r="B317" t="s">
        <v>647</v>
      </c>
      <c r="C317" t="s">
        <v>70</v>
      </c>
      <c r="D317" t="s">
        <v>105</v>
      </c>
      <c r="E317" t="s">
        <v>33</v>
      </c>
      <c r="F317" t="s">
        <v>48</v>
      </c>
      <c r="G317" t="s">
        <v>27</v>
      </c>
      <c r="H317" t="s">
        <v>28</v>
      </c>
      <c r="I317">
        <v>-2</v>
      </c>
      <c r="J317">
        <v>64761</v>
      </c>
      <c r="K317">
        <v>0.05</v>
      </c>
      <c r="L317" t="s">
        <v>51</v>
      </c>
    </row>
    <row r="318" spans="1:12">
      <c r="A318" t="s">
        <v>648</v>
      </c>
      <c r="B318" t="s">
        <v>649</v>
      </c>
      <c r="C318" t="s">
        <v>46</v>
      </c>
      <c r="D318" t="s">
        <v>111</v>
      </c>
      <c r="E318" t="s">
        <v>194</v>
      </c>
      <c r="F318" t="s">
        <v>26</v>
      </c>
      <c r="G318" t="s">
        <v>27</v>
      </c>
      <c r="H318" t="s">
        <v>28</v>
      </c>
      <c r="I318">
        <v>2</v>
      </c>
      <c r="J318">
        <v>53130</v>
      </c>
      <c r="K318">
        <v>0</v>
      </c>
      <c r="L318" t="s">
        <v>51</v>
      </c>
    </row>
    <row r="319" spans="1:12">
      <c r="A319" t="s">
        <v>650</v>
      </c>
      <c r="B319" t="s">
        <v>651</v>
      </c>
      <c r="C319" t="s">
        <v>110</v>
      </c>
      <c r="D319" t="s">
        <v>66</v>
      </c>
      <c r="E319" t="s">
        <v>41</v>
      </c>
      <c r="F319" t="s">
        <v>184</v>
      </c>
      <c r="G319" t="s">
        <v>34</v>
      </c>
      <c r="H319" t="s">
        <v>35</v>
      </c>
      <c r="I319">
        <v>1</v>
      </c>
      <c r="J319">
        <v>3184</v>
      </c>
      <c r="K319">
        <v>0.15</v>
      </c>
      <c r="L319" t="s">
        <v>51</v>
      </c>
    </row>
    <row r="320" spans="1:12">
      <c r="A320" t="s">
        <v>652</v>
      </c>
      <c r="B320" t="s">
        <v>653</v>
      </c>
      <c r="C320" t="s">
        <v>110</v>
      </c>
      <c r="D320" t="s">
        <v>32</v>
      </c>
      <c r="E320" t="s">
        <v>33</v>
      </c>
      <c r="F320" t="s">
        <v>94</v>
      </c>
      <c r="G320" t="s">
        <v>61</v>
      </c>
      <c r="H320" t="s">
        <v>75</v>
      </c>
      <c r="I320">
        <v>4</v>
      </c>
      <c r="J320">
        <v>24305</v>
      </c>
      <c r="K320">
        <v>0.02</v>
      </c>
      <c r="L320" t="s">
        <v>29</v>
      </c>
    </row>
    <row r="321" spans="1:12">
      <c r="A321" t="s">
        <v>654</v>
      </c>
      <c r="B321" t="s">
        <v>655</v>
      </c>
      <c r="C321" t="s">
        <v>70</v>
      </c>
      <c r="D321" t="s">
        <v>97</v>
      </c>
      <c r="E321" t="s">
        <v>41</v>
      </c>
      <c r="F321" t="s">
        <v>94</v>
      </c>
      <c r="G321" t="s">
        <v>42</v>
      </c>
      <c r="H321" t="s">
        <v>67</v>
      </c>
      <c r="I321">
        <v>-2</v>
      </c>
      <c r="J321">
        <v>3137</v>
      </c>
      <c r="K321">
        <v>0.1</v>
      </c>
      <c r="L321" t="s">
        <v>36</v>
      </c>
    </row>
    <row r="322" spans="1:12">
      <c r="A322" t="s">
        <v>656</v>
      </c>
      <c r="B322" t="s">
        <v>366</v>
      </c>
      <c r="C322" t="s">
        <v>70</v>
      </c>
      <c r="D322" t="s">
        <v>55</v>
      </c>
      <c r="E322" t="s">
        <v>33</v>
      </c>
      <c r="F322" t="s">
        <v>26</v>
      </c>
      <c r="G322" t="s">
        <v>34</v>
      </c>
      <c r="H322" t="s">
        <v>98</v>
      </c>
      <c r="I322">
        <v>7</v>
      </c>
      <c r="J322">
        <v>4548</v>
      </c>
      <c r="K322">
        <v>0.1</v>
      </c>
      <c r="L322" t="s">
        <v>51</v>
      </c>
    </row>
    <row r="323" spans="1:12">
      <c r="A323" t="s">
        <v>657</v>
      </c>
      <c r="B323" t="s">
        <v>658</v>
      </c>
      <c r="C323" t="s">
        <v>70</v>
      </c>
      <c r="D323" t="s">
        <v>285</v>
      </c>
      <c r="E323" t="s">
        <v>25</v>
      </c>
      <c r="F323" t="s">
        <v>48</v>
      </c>
      <c r="G323" t="s">
        <v>27</v>
      </c>
      <c r="H323" t="s">
        <v>117</v>
      </c>
      <c r="I323">
        <v>3</v>
      </c>
      <c r="J323">
        <v>62126</v>
      </c>
      <c r="K323">
        <v>0</v>
      </c>
      <c r="L323" t="s">
        <v>51</v>
      </c>
    </row>
    <row r="324" spans="1:12">
      <c r="A324" t="s">
        <v>659</v>
      </c>
      <c r="B324" t="s">
        <v>335</v>
      </c>
      <c r="C324" t="s">
        <v>89</v>
      </c>
      <c r="D324" t="s">
        <v>219</v>
      </c>
      <c r="E324" t="s">
        <v>41</v>
      </c>
      <c r="F324" t="s">
        <v>26</v>
      </c>
      <c r="G324" t="s">
        <v>27</v>
      </c>
      <c r="H324" t="s">
        <v>28</v>
      </c>
      <c r="I324">
        <v>5</v>
      </c>
      <c r="J324">
        <v>54352</v>
      </c>
      <c r="K324">
        <v>0</v>
      </c>
      <c r="L324" t="s">
        <v>51</v>
      </c>
    </row>
    <row r="325" spans="1:12">
      <c r="A325" t="s">
        <v>660</v>
      </c>
      <c r="B325" t="s">
        <v>454</v>
      </c>
      <c r="C325" t="s">
        <v>78</v>
      </c>
      <c r="D325" t="s">
        <v>127</v>
      </c>
      <c r="E325" t="s">
        <v>25</v>
      </c>
      <c r="F325" t="s">
        <v>214</v>
      </c>
      <c r="G325" t="s">
        <v>61</v>
      </c>
      <c r="H325" t="s">
        <v>75</v>
      </c>
      <c r="I325">
        <v>8</v>
      </c>
      <c r="J325" t="s">
        <v>244</v>
      </c>
      <c r="K325">
        <v>0.15</v>
      </c>
      <c r="L325" t="s">
        <v>57</v>
      </c>
    </row>
    <row r="326" spans="1:12">
      <c r="A326" t="s">
        <v>661</v>
      </c>
      <c r="B326" t="s">
        <v>662</v>
      </c>
      <c r="C326" t="s">
        <v>54</v>
      </c>
      <c r="D326" t="s">
        <v>152</v>
      </c>
      <c r="E326" t="s">
        <v>41</v>
      </c>
      <c r="F326" t="s">
        <v>94</v>
      </c>
      <c r="G326" t="s">
        <v>27</v>
      </c>
      <c r="H326" t="s">
        <v>28</v>
      </c>
      <c r="I326">
        <v>0</v>
      </c>
      <c r="J326">
        <v>69619</v>
      </c>
      <c r="K326">
        <v>0.1</v>
      </c>
      <c r="L326" t="s">
        <v>29</v>
      </c>
    </row>
    <row r="327" spans="1:12">
      <c r="A327" t="s">
        <v>663</v>
      </c>
      <c r="B327" t="s">
        <v>664</v>
      </c>
      <c r="C327" t="s">
        <v>89</v>
      </c>
      <c r="D327" t="s">
        <v>32</v>
      </c>
      <c r="E327" t="s">
        <v>56</v>
      </c>
      <c r="F327" t="s">
        <v>94</v>
      </c>
      <c r="G327" t="s">
        <v>61</v>
      </c>
      <c r="H327" t="s">
        <v>75</v>
      </c>
      <c r="I327">
        <v>8</v>
      </c>
      <c r="J327">
        <v>18157</v>
      </c>
      <c r="K327">
        <v>0.1</v>
      </c>
      <c r="L327" t="s">
        <v>29</v>
      </c>
    </row>
    <row r="328" spans="1:12">
      <c r="A328" t="s">
        <v>665</v>
      </c>
      <c r="B328" t="s">
        <v>666</v>
      </c>
      <c r="C328" t="s">
        <v>46</v>
      </c>
      <c r="D328" t="s">
        <v>135</v>
      </c>
      <c r="E328" t="s">
        <v>41</v>
      </c>
      <c r="F328" t="s">
        <v>94</v>
      </c>
      <c r="G328" t="s">
        <v>42</v>
      </c>
      <c r="H328" t="s">
        <v>154</v>
      </c>
      <c r="I328">
        <v>1</v>
      </c>
      <c r="J328">
        <v>1286</v>
      </c>
      <c r="K328">
        <v>0.02</v>
      </c>
      <c r="L328" t="s">
        <v>29</v>
      </c>
    </row>
    <row r="329" spans="1:12">
      <c r="A329" t="s">
        <v>667</v>
      </c>
      <c r="B329" t="s">
        <v>668</v>
      </c>
      <c r="C329" t="s">
        <v>74</v>
      </c>
      <c r="D329" t="s">
        <v>159</v>
      </c>
      <c r="E329" t="s">
        <v>25</v>
      </c>
      <c r="F329" t="s">
        <v>26</v>
      </c>
      <c r="G329" t="s">
        <v>27</v>
      </c>
      <c r="H329" t="s">
        <v>28</v>
      </c>
      <c r="I329">
        <v>8</v>
      </c>
      <c r="J329">
        <v>70132</v>
      </c>
      <c r="K329">
        <v>0.15</v>
      </c>
      <c r="L329" t="s">
        <v>51</v>
      </c>
    </row>
    <row r="330" spans="1:12">
      <c r="A330" t="s">
        <v>669</v>
      </c>
      <c r="B330" t="s">
        <v>372</v>
      </c>
      <c r="C330" t="s">
        <v>23</v>
      </c>
      <c r="D330" t="s">
        <v>86</v>
      </c>
      <c r="E330" t="s">
        <v>41</v>
      </c>
      <c r="F330" t="s">
        <v>26</v>
      </c>
      <c r="G330" t="s">
        <v>61</v>
      </c>
      <c r="H330" t="s">
        <v>75</v>
      </c>
      <c r="I330">
        <v>6</v>
      </c>
      <c r="J330">
        <v>18534</v>
      </c>
      <c r="K330">
        <v>0.15</v>
      </c>
      <c r="L330" t="s">
        <v>57</v>
      </c>
    </row>
    <row r="331" spans="1:12">
      <c r="A331" t="s">
        <v>670</v>
      </c>
      <c r="B331" t="s">
        <v>655</v>
      </c>
      <c r="C331" t="s">
        <v>74</v>
      </c>
      <c r="D331" t="s">
        <v>66</v>
      </c>
      <c r="E331" t="s">
        <v>41</v>
      </c>
      <c r="F331" t="s">
        <v>26</v>
      </c>
      <c r="G331" t="s">
        <v>61</v>
      </c>
      <c r="H331" t="s">
        <v>90</v>
      </c>
      <c r="I331">
        <v>6</v>
      </c>
      <c r="J331">
        <v>21953</v>
      </c>
      <c r="K331">
        <v>0.02</v>
      </c>
      <c r="L331" t="s">
        <v>51</v>
      </c>
    </row>
    <row r="332" spans="1:12">
      <c r="A332" t="s">
        <v>671</v>
      </c>
      <c r="B332" t="s">
        <v>672</v>
      </c>
      <c r="C332" t="s">
        <v>89</v>
      </c>
      <c r="D332" t="s">
        <v>79</v>
      </c>
      <c r="E332" t="s">
        <v>41</v>
      </c>
      <c r="F332" t="s">
        <v>94</v>
      </c>
      <c r="G332" t="s">
        <v>61</v>
      </c>
      <c r="H332" t="s">
        <v>62</v>
      </c>
      <c r="I332">
        <v>4</v>
      </c>
      <c r="J332">
        <v>10927</v>
      </c>
      <c r="K332">
        <v>0.15</v>
      </c>
      <c r="L332" t="s">
        <v>51</v>
      </c>
    </row>
    <row r="333" spans="1:12">
      <c r="A333" t="s">
        <v>673</v>
      </c>
      <c r="B333" t="s">
        <v>122</v>
      </c>
      <c r="C333" t="s">
        <v>39</v>
      </c>
      <c r="D333" t="s">
        <v>127</v>
      </c>
      <c r="E333" t="s">
        <v>41</v>
      </c>
      <c r="F333" t="s">
        <v>48</v>
      </c>
      <c r="G333" t="s">
        <v>34</v>
      </c>
      <c r="H333" t="s">
        <v>98</v>
      </c>
      <c r="I333">
        <v>1</v>
      </c>
      <c r="J333">
        <v>1997</v>
      </c>
      <c r="K333">
        <v>0.15</v>
      </c>
      <c r="L333" t="s">
        <v>51</v>
      </c>
    </row>
    <row r="334" spans="1:12">
      <c r="A334" t="s">
        <v>674</v>
      </c>
      <c r="B334" t="s">
        <v>675</v>
      </c>
      <c r="C334" t="s">
        <v>70</v>
      </c>
      <c r="D334" t="s">
        <v>130</v>
      </c>
      <c r="E334" t="s">
        <v>41</v>
      </c>
      <c r="F334" t="s">
        <v>26</v>
      </c>
      <c r="G334" t="s">
        <v>61</v>
      </c>
      <c r="H334" t="s">
        <v>75</v>
      </c>
      <c r="I334">
        <v>6</v>
      </c>
      <c r="J334">
        <v>24527</v>
      </c>
      <c r="K334">
        <v>0.1</v>
      </c>
      <c r="L334" t="s">
        <v>29</v>
      </c>
    </row>
    <row r="335" spans="1:12">
      <c r="A335" t="s">
        <v>676</v>
      </c>
      <c r="B335" t="s">
        <v>677</v>
      </c>
      <c r="C335" t="s">
        <v>467</v>
      </c>
      <c r="D335" t="s">
        <v>40</v>
      </c>
      <c r="E335" t="s">
        <v>33</v>
      </c>
      <c r="F335" t="s">
        <v>26</v>
      </c>
      <c r="G335" t="s">
        <v>42</v>
      </c>
      <c r="H335" t="s">
        <v>43</v>
      </c>
      <c r="I335">
        <v>2</v>
      </c>
      <c r="J335">
        <v>1177</v>
      </c>
      <c r="K335">
        <v>0.08</v>
      </c>
      <c r="L335" t="s">
        <v>36</v>
      </c>
    </row>
    <row r="336" spans="1:12">
      <c r="A336" t="s">
        <v>678</v>
      </c>
      <c r="B336" t="s">
        <v>679</v>
      </c>
      <c r="C336" t="s">
        <v>39</v>
      </c>
      <c r="D336" t="s">
        <v>97</v>
      </c>
      <c r="E336" t="s">
        <v>25</v>
      </c>
      <c r="F336" t="s">
        <v>94</v>
      </c>
      <c r="G336" t="s">
        <v>49</v>
      </c>
      <c r="H336" t="s">
        <v>249</v>
      </c>
      <c r="I336">
        <v>2</v>
      </c>
      <c r="J336">
        <v>5750</v>
      </c>
      <c r="K336">
        <v>0.02</v>
      </c>
      <c r="L336" t="s">
        <v>36</v>
      </c>
    </row>
    <row r="337" spans="1:12">
      <c r="A337" t="s">
        <v>680</v>
      </c>
      <c r="B337" t="s">
        <v>681</v>
      </c>
      <c r="C337" t="s">
        <v>74</v>
      </c>
      <c r="D337" t="s">
        <v>60</v>
      </c>
      <c r="E337" t="s">
        <v>41</v>
      </c>
      <c r="F337" t="s">
        <v>26</v>
      </c>
      <c r="G337" t="s">
        <v>34</v>
      </c>
      <c r="H337" t="s">
        <v>145</v>
      </c>
      <c r="I337">
        <v>5</v>
      </c>
      <c r="J337">
        <v>3234</v>
      </c>
      <c r="K337">
        <v>0.15</v>
      </c>
      <c r="L337" t="s">
        <v>57</v>
      </c>
    </row>
    <row r="338" spans="1:12">
      <c r="A338" t="s">
        <v>682</v>
      </c>
      <c r="B338" t="s">
        <v>267</v>
      </c>
      <c r="C338" t="s">
        <v>39</v>
      </c>
      <c r="D338" t="s">
        <v>47</v>
      </c>
      <c r="E338" t="s">
        <v>41</v>
      </c>
      <c r="F338" t="s">
        <v>26</v>
      </c>
      <c r="G338" t="s">
        <v>61</v>
      </c>
      <c r="H338" t="s">
        <v>90</v>
      </c>
      <c r="I338">
        <v>5</v>
      </c>
      <c r="J338">
        <v>13210</v>
      </c>
      <c r="K338">
        <v>0.05</v>
      </c>
      <c r="L338" t="s">
        <v>29</v>
      </c>
    </row>
    <row r="339" spans="1:12">
      <c r="A339" t="s">
        <v>683</v>
      </c>
      <c r="B339" t="s">
        <v>684</v>
      </c>
      <c r="C339" t="s">
        <v>23</v>
      </c>
      <c r="D339" t="s">
        <v>350</v>
      </c>
      <c r="E339" t="s">
        <v>41</v>
      </c>
      <c r="F339" t="s">
        <v>26</v>
      </c>
      <c r="G339" t="s">
        <v>49</v>
      </c>
      <c r="H339" t="s">
        <v>50</v>
      </c>
      <c r="I339">
        <v>1</v>
      </c>
      <c r="J339">
        <v>4604</v>
      </c>
      <c r="K339">
        <v>0.1</v>
      </c>
      <c r="L339" t="s">
        <v>51</v>
      </c>
    </row>
    <row r="340" spans="1:12">
      <c r="A340" t="s">
        <v>685</v>
      </c>
      <c r="B340" t="s">
        <v>188</v>
      </c>
      <c r="C340" t="s">
        <v>89</v>
      </c>
      <c r="D340" t="s">
        <v>24</v>
      </c>
      <c r="E340" t="s">
        <v>41</v>
      </c>
      <c r="F340" t="s">
        <v>26</v>
      </c>
      <c r="G340" t="s">
        <v>27</v>
      </c>
      <c r="H340" t="s">
        <v>28</v>
      </c>
      <c r="I340">
        <v>0</v>
      </c>
      <c r="J340">
        <v>83589</v>
      </c>
      <c r="K340">
        <v>0.1</v>
      </c>
      <c r="L340" t="s">
        <v>51</v>
      </c>
    </row>
    <row r="341" spans="1:12">
      <c r="A341" t="s">
        <v>686</v>
      </c>
      <c r="B341" t="s">
        <v>687</v>
      </c>
      <c r="C341" t="s">
        <v>54</v>
      </c>
      <c r="D341" t="s">
        <v>79</v>
      </c>
      <c r="E341" t="s">
        <v>41</v>
      </c>
      <c r="F341" t="s">
        <v>26</v>
      </c>
      <c r="G341" t="s">
        <v>49</v>
      </c>
      <c r="H341" t="s">
        <v>50</v>
      </c>
      <c r="I341">
        <v>7</v>
      </c>
      <c r="J341">
        <v>6486</v>
      </c>
      <c r="K341">
        <v>0.15</v>
      </c>
      <c r="L341" t="s">
        <v>29</v>
      </c>
    </row>
    <row r="342" spans="1:12">
      <c r="A342" t="s">
        <v>688</v>
      </c>
      <c r="B342" t="s">
        <v>689</v>
      </c>
      <c r="C342" t="s">
        <v>39</v>
      </c>
      <c r="D342" t="s">
        <v>60</v>
      </c>
      <c r="E342" t="s">
        <v>33</v>
      </c>
      <c r="F342" t="s">
        <v>26</v>
      </c>
      <c r="G342" t="s">
        <v>61</v>
      </c>
      <c r="H342" t="s">
        <v>75</v>
      </c>
      <c r="I342">
        <v>8</v>
      </c>
      <c r="J342">
        <v>10881</v>
      </c>
      <c r="K342">
        <v>0</v>
      </c>
      <c r="L342" t="s">
        <v>29</v>
      </c>
    </row>
    <row r="343" spans="1:12">
      <c r="A343" t="s">
        <v>690</v>
      </c>
      <c r="B343" t="s">
        <v>393</v>
      </c>
      <c r="C343" t="s">
        <v>39</v>
      </c>
      <c r="D343" t="s">
        <v>138</v>
      </c>
      <c r="E343" t="s">
        <v>41</v>
      </c>
      <c r="F343" t="s">
        <v>48</v>
      </c>
      <c r="G343" t="s">
        <v>49</v>
      </c>
      <c r="H343" t="s">
        <v>50</v>
      </c>
      <c r="I343">
        <v>4</v>
      </c>
      <c r="J343">
        <v>5788</v>
      </c>
      <c r="K343">
        <v>0.02</v>
      </c>
      <c r="L343" t="s">
        <v>51</v>
      </c>
    </row>
    <row r="344" spans="1:12">
      <c r="A344" t="s">
        <v>691</v>
      </c>
      <c r="B344" t="s">
        <v>692</v>
      </c>
      <c r="C344" t="s">
        <v>74</v>
      </c>
      <c r="D344" t="s">
        <v>105</v>
      </c>
      <c r="E344" t="s">
        <v>25</v>
      </c>
      <c r="F344" t="s">
        <v>26</v>
      </c>
      <c r="G344" t="s">
        <v>61</v>
      </c>
      <c r="H344" t="s">
        <v>75</v>
      </c>
      <c r="I344">
        <v>8</v>
      </c>
      <c r="J344">
        <v>18988</v>
      </c>
      <c r="K344">
        <v>0</v>
      </c>
      <c r="L344" t="s">
        <v>51</v>
      </c>
    </row>
    <row r="345" spans="1:12">
      <c r="A345" t="s">
        <v>693</v>
      </c>
      <c r="B345" t="s">
        <v>694</v>
      </c>
      <c r="C345" t="s">
        <v>46</v>
      </c>
      <c r="D345" t="s">
        <v>82</v>
      </c>
      <c r="E345" t="s">
        <v>41</v>
      </c>
      <c r="F345" t="s">
        <v>94</v>
      </c>
      <c r="G345" t="s">
        <v>61</v>
      </c>
      <c r="H345" t="s">
        <v>90</v>
      </c>
      <c r="I345">
        <v>6</v>
      </c>
      <c r="J345">
        <v>24423</v>
      </c>
      <c r="K345">
        <v>0.08</v>
      </c>
      <c r="L345" t="s">
        <v>51</v>
      </c>
    </row>
    <row r="346" spans="1:12">
      <c r="A346" t="s">
        <v>695</v>
      </c>
      <c r="B346" t="s">
        <v>696</v>
      </c>
      <c r="C346" t="s">
        <v>70</v>
      </c>
      <c r="D346" t="s">
        <v>127</v>
      </c>
      <c r="E346" t="s">
        <v>41</v>
      </c>
      <c r="F346" t="s">
        <v>48</v>
      </c>
      <c r="G346" t="s">
        <v>27</v>
      </c>
      <c r="H346" t="s">
        <v>28</v>
      </c>
      <c r="I346">
        <v>8</v>
      </c>
      <c r="J346">
        <v>76411</v>
      </c>
      <c r="K346">
        <v>0.15</v>
      </c>
      <c r="L346" t="s">
        <v>36</v>
      </c>
    </row>
    <row r="347" spans="1:12">
      <c r="A347" t="s">
        <v>697</v>
      </c>
      <c r="B347" t="s">
        <v>460</v>
      </c>
      <c r="C347" t="s">
        <v>39</v>
      </c>
      <c r="D347" t="s">
        <v>71</v>
      </c>
      <c r="E347" t="s">
        <v>41</v>
      </c>
      <c r="F347" t="s">
        <v>48</v>
      </c>
      <c r="G347" t="s">
        <v>27</v>
      </c>
      <c r="H347" t="s">
        <v>141</v>
      </c>
      <c r="I347">
        <v>4</v>
      </c>
      <c r="J347">
        <v>63970</v>
      </c>
      <c r="K347">
        <v>0.1</v>
      </c>
      <c r="L347" t="s">
        <v>51</v>
      </c>
    </row>
    <row r="348" spans="1:12">
      <c r="A348" t="s">
        <v>698</v>
      </c>
      <c r="B348" t="s">
        <v>699</v>
      </c>
      <c r="C348" t="s">
        <v>23</v>
      </c>
      <c r="D348" t="s">
        <v>130</v>
      </c>
      <c r="E348" t="s">
        <v>33</v>
      </c>
      <c r="F348" t="s">
        <v>26</v>
      </c>
      <c r="G348" t="s">
        <v>61</v>
      </c>
      <c r="H348" t="s">
        <v>75</v>
      </c>
      <c r="I348">
        <v>3</v>
      </c>
      <c r="J348">
        <v>22149</v>
      </c>
      <c r="K348">
        <v>0.08</v>
      </c>
      <c r="L348" t="s">
        <v>51</v>
      </c>
    </row>
    <row r="349" spans="1:12">
      <c r="A349" t="s">
        <v>700</v>
      </c>
      <c r="B349" t="s">
        <v>284</v>
      </c>
      <c r="C349" t="s">
        <v>23</v>
      </c>
      <c r="D349" t="s">
        <v>200</v>
      </c>
      <c r="E349" t="s">
        <v>41</v>
      </c>
      <c r="F349" t="s">
        <v>94</v>
      </c>
      <c r="G349" t="s">
        <v>42</v>
      </c>
      <c r="H349" t="s">
        <v>67</v>
      </c>
      <c r="I349">
        <v>6</v>
      </c>
      <c r="J349">
        <v>702</v>
      </c>
      <c r="K349">
        <v>0.02</v>
      </c>
      <c r="L349" t="s">
        <v>51</v>
      </c>
    </row>
    <row r="350" spans="1:12">
      <c r="A350" t="s">
        <v>701</v>
      </c>
      <c r="B350" t="s">
        <v>231</v>
      </c>
      <c r="C350" t="s">
        <v>110</v>
      </c>
      <c r="D350" t="s">
        <v>86</v>
      </c>
      <c r="E350" t="s">
        <v>25</v>
      </c>
      <c r="F350" t="s">
        <v>26</v>
      </c>
      <c r="G350" t="s">
        <v>34</v>
      </c>
      <c r="H350" t="s">
        <v>35</v>
      </c>
      <c r="I350">
        <v>2</v>
      </c>
      <c r="J350">
        <v>1914</v>
      </c>
      <c r="K350">
        <v>0</v>
      </c>
      <c r="L350" t="s">
        <v>57</v>
      </c>
    </row>
    <row r="351" spans="1:12">
      <c r="A351" t="s">
        <v>702</v>
      </c>
      <c r="B351" t="s">
        <v>545</v>
      </c>
      <c r="C351" t="s">
        <v>39</v>
      </c>
      <c r="D351" t="s">
        <v>47</v>
      </c>
      <c r="E351" t="s">
        <v>25</v>
      </c>
      <c r="F351" t="s">
        <v>26</v>
      </c>
      <c r="G351" t="s">
        <v>49</v>
      </c>
      <c r="H351" t="s">
        <v>83</v>
      </c>
      <c r="I351">
        <v>7</v>
      </c>
      <c r="J351">
        <v>5455</v>
      </c>
      <c r="K351">
        <v>0.1</v>
      </c>
      <c r="L351" t="s">
        <v>57</v>
      </c>
    </row>
    <row r="352" spans="1:12">
      <c r="A352" t="s">
        <v>703</v>
      </c>
      <c r="B352" t="s">
        <v>149</v>
      </c>
      <c r="C352" t="s">
        <v>89</v>
      </c>
      <c r="D352" t="s">
        <v>105</v>
      </c>
      <c r="E352" t="s">
        <v>41</v>
      </c>
      <c r="F352" t="s">
        <v>26</v>
      </c>
      <c r="G352" t="s">
        <v>49</v>
      </c>
      <c r="H352" t="s">
        <v>83</v>
      </c>
      <c r="I352">
        <v>3</v>
      </c>
      <c r="J352">
        <v>1529</v>
      </c>
      <c r="K352">
        <v>0.1</v>
      </c>
      <c r="L352" t="s">
        <v>51</v>
      </c>
    </row>
    <row r="353" spans="1:12">
      <c r="A353" t="s">
        <v>704</v>
      </c>
      <c r="B353" t="s">
        <v>22</v>
      </c>
      <c r="C353" t="s">
        <v>54</v>
      </c>
      <c r="D353" t="s">
        <v>350</v>
      </c>
      <c r="E353" t="s">
        <v>33</v>
      </c>
      <c r="F353" t="s">
        <v>48</v>
      </c>
      <c r="G353" t="s">
        <v>61</v>
      </c>
      <c r="H353" t="s">
        <v>62</v>
      </c>
      <c r="I353">
        <v>2</v>
      </c>
      <c r="J353">
        <v>10688</v>
      </c>
      <c r="K353">
        <v>0</v>
      </c>
      <c r="L353" t="s">
        <v>36</v>
      </c>
    </row>
    <row r="354" spans="1:12">
      <c r="A354" t="s">
        <v>705</v>
      </c>
      <c r="B354" t="s">
        <v>706</v>
      </c>
      <c r="C354" t="s">
        <v>70</v>
      </c>
      <c r="D354" t="s">
        <v>302</v>
      </c>
      <c r="E354" t="s">
        <v>33</v>
      </c>
      <c r="F354" t="s">
        <v>48</v>
      </c>
      <c r="G354" t="s">
        <v>49</v>
      </c>
      <c r="H354" t="s">
        <v>50</v>
      </c>
      <c r="I354">
        <v>6</v>
      </c>
      <c r="J354">
        <v>3307</v>
      </c>
      <c r="K354">
        <v>0.05</v>
      </c>
      <c r="L354" t="s">
        <v>51</v>
      </c>
    </row>
    <row r="355" spans="1:12">
      <c r="A355" t="s">
        <v>707</v>
      </c>
      <c r="B355" t="s">
        <v>708</v>
      </c>
      <c r="C355" t="s">
        <v>70</v>
      </c>
      <c r="D355" t="s">
        <v>93</v>
      </c>
      <c r="E355" t="s">
        <v>33</v>
      </c>
      <c r="F355" t="s">
        <v>48</v>
      </c>
      <c r="G355" t="s">
        <v>27</v>
      </c>
      <c r="H355" t="s">
        <v>141</v>
      </c>
      <c r="I355">
        <v>0</v>
      </c>
      <c r="J355">
        <v>56647</v>
      </c>
      <c r="K355">
        <v>0.08</v>
      </c>
      <c r="L355" t="s">
        <v>51</v>
      </c>
    </row>
    <row r="356" spans="1:12">
      <c r="A356" t="s">
        <v>709</v>
      </c>
      <c r="B356" t="s">
        <v>710</v>
      </c>
      <c r="C356" t="s">
        <v>74</v>
      </c>
      <c r="D356" t="s">
        <v>60</v>
      </c>
      <c r="E356" t="s">
        <v>25</v>
      </c>
      <c r="F356" t="s">
        <v>94</v>
      </c>
      <c r="G356" t="s">
        <v>27</v>
      </c>
      <c r="H356" t="s">
        <v>141</v>
      </c>
      <c r="I356">
        <v>6</v>
      </c>
      <c r="J356">
        <v>84297</v>
      </c>
      <c r="K356">
        <v>0.15</v>
      </c>
      <c r="L356" t="s">
        <v>51</v>
      </c>
    </row>
    <row r="357" spans="1:12">
      <c r="A357" t="s">
        <v>711</v>
      </c>
      <c r="B357" t="s">
        <v>712</v>
      </c>
      <c r="C357" t="s">
        <v>70</v>
      </c>
      <c r="D357" t="s">
        <v>152</v>
      </c>
      <c r="E357" t="s">
        <v>25</v>
      </c>
      <c r="F357" t="s">
        <v>48</v>
      </c>
      <c r="G357" t="s">
        <v>42</v>
      </c>
      <c r="H357" t="s">
        <v>67</v>
      </c>
      <c r="I357">
        <v>3</v>
      </c>
      <c r="J357">
        <v>2449</v>
      </c>
      <c r="K357">
        <v>0.05</v>
      </c>
      <c r="L357" t="s">
        <v>36</v>
      </c>
    </row>
    <row r="358" spans="1:12">
      <c r="A358" t="s">
        <v>713</v>
      </c>
      <c r="B358" t="s">
        <v>714</v>
      </c>
      <c r="C358" t="s">
        <v>23</v>
      </c>
      <c r="D358" t="s">
        <v>200</v>
      </c>
      <c r="E358" t="s">
        <v>41</v>
      </c>
      <c r="F358" t="s">
        <v>26</v>
      </c>
      <c r="G358" t="s">
        <v>42</v>
      </c>
      <c r="H358" t="s">
        <v>154</v>
      </c>
      <c r="I358">
        <v>5</v>
      </c>
      <c r="J358">
        <v>1315</v>
      </c>
      <c r="K358">
        <v>0.1</v>
      </c>
      <c r="L358" t="s">
        <v>51</v>
      </c>
    </row>
    <row r="359" spans="1:12">
      <c r="A359" t="s">
        <v>715</v>
      </c>
      <c r="B359" t="s">
        <v>716</v>
      </c>
      <c r="C359" t="s">
        <v>70</v>
      </c>
      <c r="D359" t="s">
        <v>97</v>
      </c>
      <c r="E359" t="s">
        <v>33</v>
      </c>
      <c r="F359" t="s">
        <v>94</v>
      </c>
      <c r="G359" t="s">
        <v>27</v>
      </c>
      <c r="H359" t="s">
        <v>28</v>
      </c>
      <c r="I359">
        <v>3</v>
      </c>
      <c r="J359">
        <v>63250</v>
      </c>
      <c r="K359">
        <v>0.08</v>
      </c>
      <c r="L359" t="s">
        <v>51</v>
      </c>
    </row>
    <row r="360" spans="1:12">
      <c r="A360" t="s">
        <v>717</v>
      </c>
      <c r="B360" t="s">
        <v>718</v>
      </c>
      <c r="C360" t="s">
        <v>39</v>
      </c>
      <c r="D360" t="s">
        <v>127</v>
      </c>
      <c r="E360" t="s">
        <v>41</v>
      </c>
      <c r="F360" t="s">
        <v>48</v>
      </c>
      <c r="G360" t="s">
        <v>42</v>
      </c>
      <c r="H360" t="s">
        <v>154</v>
      </c>
      <c r="I360">
        <v>1</v>
      </c>
      <c r="J360">
        <v>711</v>
      </c>
      <c r="K360">
        <v>0.05</v>
      </c>
      <c r="L360" t="s">
        <v>57</v>
      </c>
    </row>
    <row r="361" spans="1:12">
      <c r="A361" t="s">
        <v>719</v>
      </c>
      <c r="B361" t="s">
        <v>720</v>
      </c>
      <c r="C361" t="s">
        <v>89</v>
      </c>
      <c r="D361" t="s">
        <v>111</v>
      </c>
      <c r="E361" t="s">
        <v>25</v>
      </c>
      <c r="F361" t="s">
        <v>26</v>
      </c>
      <c r="G361" t="s">
        <v>61</v>
      </c>
      <c r="H361" t="s">
        <v>62</v>
      </c>
      <c r="I361">
        <v>2</v>
      </c>
      <c r="J361">
        <v>21179</v>
      </c>
      <c r="K361">
        <v>0.08</v>
      </c>
      <c r="L361" t="s">
        <v>57</v>
      </c>
    </row>
    <row r="362" spans="1:12">
      <c r="A362" t="s">
        <v>721</v>
      </c>
      <c r="B362" t="s">
        <v>420</v>
      </c>
      <c r="C362" t="s">
        <v>89</v>
      </c>
      <c r="D362" t="s">
        <v>191</v>
      </c>
      <c r="E362" t="s">
        <v>41</v>
      </c>
      <c r="F362" t="s">
        <v>94</v>
      </c>
      <c r="G362" t="s">
        <v>42</v>
      </c>
      <c r="H362" t="s">
        <v>154</v>
      </c>
      <c r="I362">
        <v>1</v>
      </c>
      <c r="J362">
        <v>945</v>
      </c>
      <c r="K362">
        <v>0.1</v>
      </c>
      <c r="L362" t="s">
        <v>51</v>
      </c>
    </row>
    <row r="363" spans="1:12">
      <c r="A363" t="s">
        <v>722</v>
      </c>
      <c r="B363" t="s">
        <v>723</v>
      </c>
      <c r="C363" t="s">
        <v>70</v>
      </c>
      <c r="D363" t="s">
        <v>138</v>
      </c>
      <c r="E363" t="s">
        <v>41</v>
      </c>
      <c r="F363" t="s">
        <v>48</v>
      </c>
      <c r="G363" t="s">
        <v>61</v>
      </c>
      <c r="H363" t="s">
        <v>62</v>
      </c>
      <c r="I363">
        <v>2</v>
      </c>
      <c r="J363">
        <v>21854</v>
      </c>
      <c r="K363">
        <v>0.15</v>
      </c>
      <c r="L363" t="s">
        <v>29</v>
      </c>
    </row>
    <row r="364" spans="1:12">
      <c r="A364" t="s">
        <v>724</v>
      </c>
      <c r="B364" t="s">
        <v>449</v>
      </c>
      <c r="C364" t="s">
        <v>725</v>
      </c>
      <c r="D364" t="s">
        <v>66</v>
      </c>
      <c r="E364" t="s">
        <v>56</v>
      </c>
      <c r="F364" t="s">
        <v>94</v>
      </c>
      <c r="G364" t="s">
        <v>27</v>
      </c>
      <c r="H364" t="s">
        <v>141</v>
      </c>
      <c r="I364">
        <v>2</v>
      </c>
      <c r="J364">
        <v>81155</v>
      </c>
      <c r="K364">
        <v>0.1</v>
      </c>
      <c r="L364" t="s">
        <v>57</v>
      </c>
    </row>
    <row r="365" spans="1:12">
      <c r="A365" t="s">
        <v>726</v>
      </c>
      <c r="B365" t="s">
        <v>346</v>
      </c>
      <c r="C365" t="s">
        <v>23</v>
      </c>
      <c r="D365" t="s">
        <v>285</v>
      </c>
      <c r="E365" t="s">
        <v>33</v>
      </c>
      <c r="F365" t="s">
        <v>48</v>
      </c>
      <c r="G365" t="s">
        <v>49</v>
      </c>
      <c r="H365" t="s">
        <v>249</v>
      </c>
      <c r="I365">
        <v>5</v>
      </c>
      <c r="J365">
        <v>1806</v>
      </c>
      <c r="K365">
        <v>0.02</v>
      </c>
      <c r="L365" t="s">
        <v>51</v>
      </c>
    </row>
    <row r="366" spans="1:12">
      <c r="A366" t="s">
        <v>727</v>
      </c>
      <c r="B366" t="s">
        <v>193</v>
      </c>
      <c r="C366" t="s">
        <v>23</v>
      </c>
      <c r="D366" t="s">
        <v>159</v>
      </c>
      <c r="E366" t="s">
        <v>41</v>
      </c>
      <c r="F366" t="s">
        <v>48</v>
      </c>
      <c r="G366" t="s">
        <v>42</v>
      </c>
      <c r="H366" t="s">
        <v>67</v>
      </c>
      <c r="I366">
        <v>7</v>
      </c>
      <c r="J366">
        <v>863</v>
      </c>
      <c r="K366">
        <v>0.02</v>
      </c>
      <c r="L366" t="s">
        <v>51</v>
      </c>
    </row>
    <row r="367" spans="1:12">
      <c r="A367" t="s">
        <v>728</v>
      </c>
      <c r="B367" t="s">
        <v>729</v>
      </c>
      <c r="C367" t="s">
        <v>74</v>
      </c>
      <c r="D367" t="s">
        <v>159</v>
      </c>
      <c r="E367" t="s">
        <v>25</v>
      </c>
      <c r="F367" t="s">
        <v>214</v>
      </c>
      <c r="G367" t="s">
        <v>27</v>
      </c>
      <c r="H367" t="s">
        <v>141</v>
      </c>
      <c r="I367">
        <v>8</v>
      </c>
      <c r="J367">
        <v>68158</v>
      </c>
      <c r="K367">
        <v>0.05</v>
      </c>
      <c r="L367" t="s">
        <v>29</v>
      </c>
    </row>
    <row r="368" spans="1:12">
      <c r="A368" t="s">
        <v>730</v>
      </c>
      <c r="B368" t="s">
        <v>731</v>
      </c>
      <c r="C368" t="s">
        <v>89</v>
      </c>
      <c r="D368" t="s">
        <v>97</v>
      </c>
      <c r="E368" t="s">
        <v>41</v>
      </c>
      <c r="F368" t="s">
        <v>94</v>
      </c>
      <c r="G368" t="s">
        <v>27</v>
      </c>
      <c r="H368" t="s">
        <v>117</v>
      </c>
      <c r="I368">
        <v>1</v>
      </c>
      <c r="J368">
        <v>78157</v>
      </c>
      <c r="K368">
        <v>0.15</v>
      </c>
      <c r="L368" t="s">
        <v>51</v>
      </c>
    </row>
    <row r="369" spans="1:12">
      <c r="A369" t="s">
        <v>732</v>
      </c>
      <c r="B369" t="s">
        <v>549</v>
      </c>
      <c r="C369" t="s">
        <v>74</v>
      </c>
      <c r="D369" t="s">
        <v>135</v>
      </c>
      <c r="E369" t="s">
        <v>25</v>
      </c>
      <c r="F369" t="s">
        <v>48</v>
      </c>
      <c r="G369" t="s">
        <v>61</v>
      </c>
      <c r="H369" t="s">
        <v>90</v>
      </c>
      <c r="I369">
        <v>2</v>
      </c>
      <c r="J369">
        <v>23192</v>
      </c>
      <c r="K369">
        <v>0.05</v>
      </c>
      <c r="L369" t="s">
        <v>51</v>
      </c>
    </row>
    <row r="370" spans="1:12">
      <c r="A370" t="s">
        <v>733</v>
      </c>
      <c r="B370" t="s">
        <v>734</v>
      </c>
      <c r="C370" t="s">
        <v>78</v>
      </c>
      <c r="D370" t="s">
        <v>127</v>
      </c>
      <c r="E370" t="s">
        <v>41</v>
      </c>
      <c r="F370" t="s">
        <v>94</v>
      </c>
      <c r="G370" t="s">
        <v>42</v>
      </c>
      <c r="H370" t="s">
        <v>43</v>
      </c>
      <c r="I370">
        <v>5</v>
      </c>
      <c r="J370">
        <v>3500</v>
      </c>
      <c r="K370">
        <v>0.05</v>
      </c>
      <c r="L370" t="s">
        <v>36</v>
      </c>
    </row>
    <row r="371" spans="1:12">
      <c r="A371" t="s">
        <v>735</v>
      </c>
      <c r="B371" t="s">
        <v>736</v>
      </c>
      <c r="C371" t="s">
        <v>467</v>
      </c>
      <c r="D371" t="s">
        <v>105</v>
      </c>
      <c r="E371" t="s">
        <v>33</v>
      </c>
      <c r="F371" t="s">
        <v>26</v>
      </c>
      <c r="G371" t="s">
        <v>61</v>
      </c>
      <c r="H371" t="s">
        <v>62</v>
      </c>
      <c r="I371">
        <v>7</v>
      </c>
      <c r="J371">
        <v>24581</v>
      </c>
      <c r="K371">
        <v>0</v>
      </c>
      <c r="L371" t="s">
        <v>57</v>
      </c>
    </row>
    <row r="372" spans="1:12">
      <c r="A372" t="s">
        <v>737</v>
      </c>
      <c r="B372" t="s">
        <v>435</v>
      </c>
      <c r="C372" t="s">
        <v>110</v>
      </c>
      <c r="D372" t="s">
        <v>144</v>
      </c>
      <c r="E372" t="s">
        <v>25</v>
      </c>
      <c r="F372" t="s">
        <v>48</v>
      </c>
      <c r="G372" t="s">
        <v>49</v>
      </c>
      <c r="H372" t="s">
        <v>50</v>
      </c>
      <c r="I372">
        <v>0</v>
      </c>
      <c r="J372">
        <v>6238</v>
      </c>
      <c r="K372">
        <v>0</v>
      </c>
      <c r="L372" t="s">
        <v>51</v>
      </c>
    </row>
    <row r="373" spans="1:12">
      <c r="A373" t="s">
        <v>738</v>
      </c>
      <c r="B373" t="s">
        <v>739</v>
      </c>
      <c r="C373" t="s">
        <v>39</v>
      </c>
      <c r="D373" t="s">
        <v>55</v>
      </c>
      <c r="E373" t="s">
        <v>33</v>
      </c>
      <c r="F373" t="s">
        <v>26</v>
      </c>
      <c r="G373" t="s">
        <v>27</v>
      </c>
      <c r="H373" t="s">
        <v>117</v>
      </c>
      <c r="I373">
        <v>7</v>
      </c>
      <c r="J373">
        <v>74884</v>
      </c>
      <c r="K373">
        <v>0.1</v>
      </c>
      <c r="L373" t="s">
        <v>51</v>
      </c>
    </row>
    <row r="374" spans="1:12">
      <c r="A374" t="s">
        <v>740</v>
      </c>
      <c r="B374" t="s">
        <v>741</v>
      </c>
      <c r="C374" t="s">
        <v>89</v>
      </c>
      <c r="D374" t="s">
        <v>138</v>
      </c>
      <c r="E374" t="s">
        <v>25</v>
      </c>
      <c r="F374" t="s">
        <v>94</v>
      </c>
      <c r="G374" t="s">
        <v>27</v>
      </c>
      <c r="H374" t="s">
        <v>28</v>
      </c>
      <c r="I374">
        <v>2</v>
      </c>
      <c r="J374">
        <v>71953</v>
      </c>
      <c r="K374">
        <v>0.15</v>
      </c>
      <c r="L374" t="s">
        <v>29</v>
      </c>
    </row>
    <row r="375" spans="1:12">
      <c r="A375" t="s">
        <v>742</v>
      </c>
      <c r="B375" t="s">
        <v>743</v>
      </c>
      <c r="C375" t="s">
        <v>89</v>
      </c>
      <c r="D375" t="s">
        <v>159</v>
      </c>
      <c r="E375" t="s">
        <v>153</v>
      </c>
      <c r="F375" t="s">
        <v>94</v>
      </c>
      <c r="G375" t="s">
        <v>42</v>
      </c>
      <c r="H375" t="s">
        <v>67</v>
      </c>
      <c r="I375">
        <v>5</v>
      </c>
      <c r="J375">
        <v>1796</v>
      </c>
      <c r="K375">
        <v>0.05</v>
      </c>
      <c r="L375" t="s">
        <v>29</v>
      </c>
    </row>
    <row r="376" spans="1:12">
      <c r="A376" t="s">
        <v>744</v>
      </c>
      <c r="B376" t="s">
        <v>672</v>
      </c>
      <c r="C376" t="s">
        <v>39</v>
      </c>
      <c r="D376" t="s">
        <v>97</v>
      </c>
      <c r="E376" t="s">
        <v>41</v>
      </c>
      <c r="F376" t="s">
        <v>26</v>
      </c>
      <c r="G376" t="s">
        <v>27</v>
      </c>
      <c r="H376" t="s">
        <v>117</v>
      </c>
      <c r="I376">
        <v>3</v>
      </c>
      <c r="J376">
        <v>53445</v>
      </c>
      <c r="K376" t="s">
        <v>122</v>
      </c>
      <c r="L376" t="s">
        <v>51</v>
      </c>
    </row>
    <row r="377" spans="1:12">
      <c r="A377" t="s">
        <v>745</v>
      </c>
      <c r="B377" t="s">
        <v>746</v>
      </c>
      <c r="C377" t="s">
        <v>110</v>
      </c>
      <c r="D377" t="s">
        <v>114</v>
      </c>
      <c r="E377" t="s">
        <v>25</v>
      </c>
      <c r="F377" t="s">
        <v>94</v>
      </c>
      <c r="G377" t="s">
        <v>49</v>
      </c>
      <c r="H377" t="s">
        <v>249</v>
      </c>
      <c r="I377">
        <v>6</v>
      </c>
      <c r="J377">
        <v>6673</v>
      </c>
      <c r="K377">
        <v>0.02</v>
      </c>
      <c r="L377" t="s">
        <v>51</v>
      </c>
    </row>
    <row r="378" spans="1:12">
      <c r="A378" t="s">
        <v>747</v>
      </c>
      <c r="B378" t="s">
        <v>449</v>
      </c>
      <c r="C378" t="s">
        <v>74</v>
      </c>
      <c r="D378" t="s">
        <v>93</v>
      </c>
      <c r="E378" t="s">
        <v>41</v>
      </c>
      <c r="F378" t="s">
        <v>48</v>
      </c>
      <c r="G378" t="s">
        <v>27</v>
      </c>
      <c r="H378" t="s">
        <v>28</v>
      </c>
      <c r="I378">
        <v>8</v>
      </c>
      <c r="J378" t="s">
        <v>244</v>
      </c>
      <c r="K378">
        <v>0.05</v>
      </c>
      <c r="L378" t="s">
        <v>51</v>
      </c>
    </row>
    <row r="379" spans="1:12">
      <c r="A379" t="s">
        <v>748</v>
      </c>
      <c r="B379" t="s">
        <v>749</v>
      </c>
      <c r="C379" t="s">
        <v>505</v>
      </c>
      <c r="D379" t="s">
        <v>32</v>
      </c>
      <c r="E379" t="s">
        <v>25</v>
      </c>
      <c r="F379" t="s">
        <v>48</v>
      </c>
      <c r="G379" t="s">
        <v>49</v>
      </c>
      <c r="H379" t="s">
        <v>249</v>
      </c>
      <c r="I379">
        <v>1</v>
      </c>
      <c r="J379">
        <v>6415</v>
      </c>
      <c r="K379">
        <v>0.02</v>
      </c>
      <c r="L379" t="s">
        <v>57</v>
      </c>
    </row>
    <row r="380" spans="1:12">
      <c r="A380" t="s">
        <v>750</v>
      </c>
      <c r="B380" t="s">
        <v>121</v>
      </c>
      <c r="C380" t="s">
        <v>46</v>
      </c>
      <c r="D380" t="s">
        <v>219</v>
      </c>
      <c r="E380" t="s">
        <v>33</v>
      </c>
      <c r="F380" t="s">
        <v>48</v>
      </c>
      <c r="G380" t="s">
        <v>61</v>
      </c>
      <c r="H380" t="s">
        <v>75</v>
      </c>
      <c r="I380">
        <v>7</v>
      </c>
      <c r="J380">
        <v>18644</v>
      </c>
      <c r="K380">
        <v>0.02</v>
      </c>
      <c r="L380" t="s">
        <v>51</v>
      </c>
    </row>
    <row r="381" spans="1:12">
      <c r="A381" t="s">
        <v>751</v>
      </c>
      <c r="B381" t="s">
        <v>458</v>
      </c>
      <c r="C381" t="s">
        <v>54</v>
      </c>
      <c r="D381" t="s">
        <v>200</v>
      </c>
      <c r="E381" t="s">
        <v>41</v>
      </c>
      <c r="F381" t="s">
        <v>48</v>
      </c>
      <c r="G381" t="s">
        <v>49</v>
      </c>
      <c r="H381" t="s">
        <v>83</v>
      </c>
      <c r="I381">
        <v>5</v>
      </c>
      <c r="J381" t="s">
        <v>122</v>
      </c>
      <c r="K381">
        <v>0.1</v>
      </c>
      <c r="L381" t="s">
        <v>29</v>
      </c>
    </row>
    <row r="382" spans="1:12">
      <c r="A382" t="s">
        <v>752</v>
      </c>
      <c r="B382" t="s">
        <v>45</v>
      </c>
      <c r="C382" t="s">
        <v>46</v>
      </c>
      <c r="D382" t="s">
        <v>219</v>
      </c>
      <c r="E382" t="s">
        <v>33</v>
      </c>
      <c r="F382" t="s">
        <v>26</v>
      </c>
      <c r="G382" t="s">
        <v>42</v>
      </c>
      <c r="H382" t="s">
        <v>154</v>
      </c>
      <c r="I382">
        <v>4</v>
      </c>
      <c r="J382">
        <v>2279</v>
      </c>
      <c r="K382">
        <v>0.1</v>
      </c>
      <c r="L382" t="s">
        <v>51</v>
      </c>
    </row>
    <row r="383" spans="1:12">
      <c r="A383" t="s">
        <v>753</v>
      </c>
      <c r="B383" t="s">
        <v>122</v>
      </c>
      <c r="C383" t="s">
        <v>89</v>
      </c>
      <c r="D383" t="s">
        <v>200</v>
      </c>
      <c r="E383" t="s">
        <v>56</v>
      </c>
      <c r="F383" t="s">
        <v>26</v>
      </c>
      <c r="G383" t="s">
        <v>42</v>
      </c>
      <c r="H383" t="s">
        <v>67</v>
      </c>
      <c r="I383">
        <v>5</v>
      </c>
      <c r="J383">
        <v>3060</v>
      </c>
      <c r="K383">
        <v>0</v>
      </c>
      <c r="L383" t="s">
        <v>36</v>
      </c>
    </row>
    <row r="384" spans="1:12">
      <c r="A384" t="s">
        <v>754</v>
      </c>
      <c r="B384" t="s">
        <v>755</v>
      </c>
      <c r="C384" t="s">
        <v>23</v>
      </c>
      <c r="D384" t="s">
        <v>47</v>
      </c>
      <c r="E384" t="s">
        <v>153</v>
      </c>
      <c r="F384" t="s">
        <v>48</v>
      </c>
      <c r="G384" t="s">
        <v>42</v>
      </c>
      <c r="H384" t="s">
        <v>67</v>
      </c>
      <c r="I384">
        <v>8</v>
      </c>
      <c r="J384">
        <v>1922</v>
      </c>
      <c r="K384">
        <v>0.08</v>
      </c>
      <c r="L384" t="s">
        <v>36</v>
      </c>
    </row>
    <row r="385" spans="1:12">
      <c r="A385" t="s">
        <v>756</v>
      </c>
      <c r="B385" t="s">
        <v>216</v>
      </c>
      <c r="C385" t="s">
        <v>70</v>
      </c>
      <c r="D385" t="s">
        <v>144</v>
      </c>
      <c r="E385" t="s">
        <v>25</v>
      </c>
      <c r="F385" t="s">
        <v>48</v>
      </c>
      <c r="G385" t="s">
        <v>49</v>
      </c>
      <c r="H385" t="s">
        <v>249</v>
      </c>
      <c r="I385">
        <v>2</v>
      </c>
      <c r="J385">
        <v>3992</v>
      </c>
      <c r="K385">
        <v>0.05</v>
      </c>
      <c r="L385" t="s">
        <v>51</v>
      </c>
    </row>
    <row r="386" spans="1:12">
      <c r="A386" t="s">
        <v>757</v>
      </c>
      <c r="B386" t="s">
        <v>758</v>
      </c>
      <c r="C386" t="s">
        <v>110</v>
      </c>
      <c r="D386" t="s">
        <v>209</v>
      </c>
      <c r="E386" t="s">
        <v>25</v>
      </c>
      <c r="F386" t="s">
        <v>48</v>
      </c>
      <c r="G386" t="s">
        <v>42</v>
      </c>
      <c r="H386" t="s">
        <v>154</v>
      </c>
      <c r="I386">
        <v>5</v>
      </c>
      <c r="J386">
        <v>1625</v>
      </c>
      <c r="K386">
        <v>0.05</v>
      </c>
      <c r="L386" t="s">
        <v>36</v>
      </c>
    </row>
    <row r="387" spans="1:12">
      <c r="A387" t="s">
        <v>759</v>
      </c>
      <c r="B387" t="s">
        <v>760</v>
      </c>
      <c r="C387" t="s">
        <v>74</v>
      </c>
      <c r="D387" t="s">
        <v>159</v>
      </c>
      <c r="E387" t="s">
        <v>41</v>
      </c>
      <c r="F387" t="s">
        <v>94</v>
      </c>
      <c r="G387" t="s">
        <v>49</v>
      </c>
      <c r="H387" t="s">
        <v>50</v>
      </c>
      <c r="I387">
        <v>3</v>
      </c>
      <c r="J387">
        <v>2365</v>
      </c>
      <c r="K387" t="s">
        <v>122</v>
      </c>
      <c r="L387" t="s">
        <v>51</v>
      </c>
    </row>
    <row r="388" spans="1:12">
      <c r="A388" t="s">
        <v>761</v>
      </c>
      <c r="B388" t="s">
        <v>410</v>
      </c>
      <c r="C388" t="s">
        <v>110</v>
      </c>
      <c r="D388" t="s">
        <v>138</v>
      </c>
      <c r="E388" t="s">
        <v>33</v>
      </c>
      <c r="F388" t="s">
        <v>94</v>
      </c>
      <c r="G388" t="s">
        <v>61</v>
      </c>
      <c r="H388" t="s">
        <v>62</v>
      </c>
      <c r="I388">
        <v>2</v>
      </c>
      <c r="J388">
        <v>26396</v>
      </c>
      <c r="K388">
        <v>0.1</v>
      </c>
      <c r="L388" t="s">
        <v>51</v>
      </c>
    </row>
    <row r="389" spans="1:12">
      <c r="A389" t="s">
        <v>762</v>
      </c>
      <c r="B389" t="s">
        <v>64</v>
      </c>
      <c r="C389" t="s">
        <v>467</v>
      </c>
      <c r="D389" t="s">
        <v>269</v>
      </c>
      <c r="E389" t="s">
        <v>25</v>
      </c>
      <c r="F389" t="s">
        <v>26</v>
      </c>
      <c r="G389" t="s">
        <v>42</v>
      </c>
      <c r="H389" t="s">
        <v>154</v>
      </c>
      <c r="I389">
        <v>2</v>
      </c>
      <c r="J389">
        <v>1154</v>
      </c>
      <c r="K389">
        <v>0</v>
      </c>
      <c r="L389" t="s">
        <v>51</v>
      </c>
    </row>
    <row r="390" spans="1:12">
      <c r="A390" t="s">
        <v>763</v>
      </c>
      <c r="B390" t="s">
        <v>396</v>
      </c>
      <c r="C390" t="s">
        <v>110</v>
      </c>
      <c r="D390" t="s">
        <v>82</v>
      </c>
      <c r="E390" t="s">
        <v>25</v>
      </c>
      <c r="F390" t="s">
        <v>94</v>
      </c>
      <c r="G390" t="s">
        <v>34</v>
      </c>
      <c r="H390" t="s">
        <v>145</v>
      </c>
      <c r="I390">
        <v>8</v>
      </c>
      <c r="J390">
        <v>2716</v>
      </c>
      <c r="K390">
        <v>0.15</v>
      </c>
      <c r="L390" t="s">
        <v>51</v>
      </c>
    </row>
    <row r="391" spans="1:12">
      <c r="A391" t="s">
        <v>764</v>
      </c>
      <c r="B391" t="s">
        <v>287</v>
      </c>
      <c r="C391" t="s">
        <v>46</v>
      </c>
      <c r="D391" t="s">
        <v>55</v>
      </c>
      <c r="E391" t="s">
        <v>25</v>
      </c>
      <c r="F391" t="s">
        <v>48</v>
      </c>
      <c r="G391" t="s">
        <v>49</v>
      </c>
      <c r="H391" t="s">
        <v>83</v>
      </c>
      <c r="I391">
        <v>2</v>
      </c>
      <c r="J391">
        <v>5371</v>
      </c>
      <c r="K391" t="s">
        <v>122</v>
      </c>
      <c r="L391" t="s">
        <v>51</v>
      </c>
    </row>
    <row r="392" spans="1:12">
      <c r="A392" t="s">
        <v>765</v>
      </c>
      <c r="B392" t="s">
        <v>766</v>
      </c>
      <c r="C392" t="s">
        <v>767</v>
      </c>
      <c r="D392" t="s">
        <v>200</v>
      </c>
      <c r="E392" t="s">
        <v>33</v>
      </c>
      <c r="F392" t="s">
        <v>94</v>
      </c>
      <c r="G392" t="s">
        <v>34</v>
      </c>
      <c r="H392" t="s">
        <v>145</v>
      </c>
      <c r="I392">
        <v>1</v>
      </c>
      <c r="J392">
        <v>2123</v>
      </c>
      <c r="K392">
        <v>0.02</v>
      </c>
      <c r="L392" t="s">
        <v>29</v>
      </c>
    </row>
    <row r="393" spans="1:12">
      <c r="A393" t="s">
        <v>768</v>
      </c>
      <c r="B393" t="s">
        <v>637</v>
      </c>
      <c r="C393" t="s">
        <v>54</v>
      </c>
      <c r="D393" t="s">
        <v>82</v>
      </c>
      <c r="E393" t="s">
        <v>41</v>
      </c>
      <c r="F393" t="s">
        <v>94</v>
      </c>
      <c r="G393" t="s">
        <v>49</v>
      </c>
      <c r="H393" t="s">
        <v>249</v>
      </c>
      <c r="I393">
        <v>5</v>
      </c>
      <c r="J393">
        <v>4918</v>
      </c>
      <c r="K393">
        <v>0.05</v>
      </c>
      <c r="L393" t="s">
        <v>51</v>
      </c>
    </row>
    <row r="394" spans="1:12">
      <c r="A394" t="s">
        <v>769</v>
      </c>
      <c r="B394" t="s">
        <v>225</v>
      </c>
      <c r="C394" t="s">
        <v>379</v>
      </c>
      <c r="D394" t="s">
        <v>32</v>
      </c>
      <c r="E394" t="s">
        <v>153</v>
      </c>
      <c r="F394" t="s">
        <v>48</v>
      </c>
      <c r="G394" t="s">
        <v>42</v>
      </c>
      <c r="H394" t="s">
        <v>43</v>
      </c>
      <c r="I394">
        <v>5</v>
      </c>
      <c r="J394">
        <v>867</v>
      </c>
      <c r="K394">
        <v>0.1</v>
      </c>
      <c r="L394" t="s">
        <v>51</v>
      </c>
    </row>
    <row r="395" spans="1:12">
      <c r="A395" t="s">
        <v>770</v>
      </c>
      <c r="B395" t="s">
        <v>771</v>
      </c>
      <c r="C395" t="s">
        <v>70</v>
      </c>
      <c r="D395" t="s">
        <v>135</v>
      </c>
      <c r="E395" t="s">
        <v>41</v>
      </c>
      <c r="F395" t="s">
        <v>26</v>
      </c>
      <c r="G395" t="s">
        <v>61</v>
      </c>
      <c r="H395" t="s">
        <v>62</v>
      </c>
      <c r="I395">
        <v>4</v>
      </c>
      <c r="J395">
        <v>16171</v>
      </c>
      <c r="K395">
        <v>0.15</v>
      </c>
      <c r="L395" t="s">
        <v>36</v>
      </c>
    </row>
    <row r="396" spans="1:12">
      <c r="A396" t="s">
        <v>772</v>
      </c>
      <c r="B396" t="s">
        <v>773</v>
      </c>
      <c r="C396" t="s">
        <v>54</v>
      </c>
      <c r="D396" t="s">
        <v>24</v>
      </c>
      <c r="E396" t="s">
        <v>41</v>
      </c>
      <c r="F396" t="s">
        <v>94</v>
      </c>
      <c r="G396" t="s">
        <v>34</v>
      </c>
      <c r="H396" t="s">
        <v>35</v>
      </c>
      <c r="I396">
        <v>2</v>
      </c>
      <c r="J396">
        <v>2702</v>
      </c>
      <c r="K396">
        <v>0.02</v>
      </c>
      <c r="L396" t="s">
        <v>57</v>
      </c>
    </row>
    <row r="397" spans="1:12">
      <c r="A397" t="s">
        <v>774</v>
      </c>
      <c r="B397" t="s">
        <v>389</v>
      </c>
      <c r="C397" t="s">
        <v>74</v>
      </c>
      <c r="D397" t="s">
        <v>200</v>
      </c>
      <c r="E397" t="s">
        <v>41</v>
      </c>
      <c r="F397" t="s">
        <v>26</v>
      </c>
      <c r="G397" t="s">
        <v>61</v>
      </c>
      <c r="H397" t="s">
        <v>90</v>
      </c>
      <c r="I397">
        <v>3</v>
      </c>
      <c r="J397">
        <v>26801</v>
      </c>
      <c r="K397">
        <v>0.08</v>
      </c>
      <c r="L397" t="s">
        <v>36</v>
      </c>
    </row>
    <row r="398" spans="1:12">
      <c r="A398" t="s">
        <v>775</v>
      </c>
      <c r="B398" t="s">
        <v>668</v>
      </c>
      <c r="C398" t="s">
        <v>89</v>
      </c>
      <c r="D398" t="s">
        <v>66</v>
      </c>
      <c r="E398" t="s">
        <v>25</v>
      </c>
      <c r="F398" t="s">
        <v>48</v>
      </c>
      <c r="G398" t="s">
        <v>27</v>
      </c>
      <c r="H398" t="s">
        <v>117</v>
      </c>
      <c r="I398">
        <v>3</v>
      </c>
      <c r="J398">
        <v>78833</v>
      </c>
      <c r="K398">
        <v>0.05</v>
      </c>
      <c r="L398" t="s">
        <v>36</v>
      </c>
    </row>
    <row r="399" spans="1:12">
      <c r="A399" t="s">
        <v>776</v>
      </c>
      <c r="B399" t="s">
        <v>318</v>
      </c>
      <c r="C399" t="s">
        <v>39</v>
      </c>
      <c r="D399" t="s">
        <v>285</v>
      </c>
      <c r="E399" t="s">
        <v>33</v>
      </c>
      <c r="F399" t="s">
        <v>48</v>
      </c>
      <c r="G399" t="s">
        <v>42</v>
      </c>
      <c r="H399" t="s">
        <v>43</v>
      </c>
      <c r="I399">
        <v>8</v>
      </c>
      <c r="J399">
        <v>3209</v>
      </c>
      <c r="K399">
        <v>0.15</v>
      </c>
      <c r="L399" t="s">
        <v>57</v>
      </c>
    </row>
    <row r="400" spans="1:12">
      <c r="A400" t="s">
        <v>777</v>
      </c>
      <c r="B400" t="s">
        <v>297</v>
      </c>
      <c r="C400" t="s">
        <v>379</v>
      </c>
      <c r="D400" t="s">
        <v>105</v>
      </c>
      <c r="E400" t="s">
        <v>33</v>
      </c>
      <c r="F400" t="s">
        <v>48</v>
      </c>
      <c r="G400" t="s">
        <v>27</v>
      </c>
      <c r="H400" t="s">
        <v>141</v>
      </c>
      <c r="I400">
        <v>2</v>
      </c>
      <c r="J400">
        <v>72841</v>
      </c>
      <c r="K400">
        <v>0.1</v>
      </c>
      <c r="L400" t="s">
        <v>29</v>
      </c>
    </row>
    <row r="401" spans="1:12">
      <c r="A401" t="s">
        <v>778</v>
      </c>
      <c r="B401" t="s">
        <v>779</v>
      </c>
      <c r="C401" t="s">
        <v>74</v>
      </c>
      <c r="D401" t="s">
        <v>269</v>
      </c>
      <c r="E401" t="s">
        <v>41</v>
      </c>
      <c r="F401" t="s">
        <v>26</v>
      </c>
      <c r="G401" t="s">
        <v>61</v>
      </c>
      <c r="H401" t="s">
        <v>62</v>
      </c>
      <c r="I401">
        <v>6</v>
      </c>
      <c r="J401">
        <v>11056</v>
      </c>
      <c r="K401">
        <v>0.15</v>
      </c>
      <c r="L401" t="s">
        <v>36</v>
      </c>
    </row>
    <row r="402" spans="1:12">
      <c r="A402" t="s">
        <v>780</v>
      </c>
      <c r="B402" t="s">
        <v>781</v>
      </c>
      <c r="C402" t="s">
        <v>23</v>
      </c>
      <c r="D402" t="s">
        <v>60</v>
      </c>
      <c r="E402" t="s">
        <v>41</v>
      </c>
      <c r="F402" t="s">
        <v>26</v>
      </c>
      <c r="G402" t="s">
        <v>49</v>
      </c>
      <c r="H402" t="s">
        <v>83</v>
      </c>
      <c r="I402">
        <v>1</v>
      </c>
      <c r="J402">
        <v>1868</v>
      </c>
      <c r="K402">
        <v>0.15</v>
      </c>
      <c r="L402" t="s">
        <v>51</v>
      </c>
    </row>
    <row r="403" spans="1:12">
      <c r="A403" t="s">
        <v>782</v>
      </c>
      <c r="B403" t="s">
        <v>783</v>
      </c>
      <c r="C403" t="s">
        <v>110</v>
      </c>
      <c r="D403" t="s">
        <v>135</v>
      </c>
      <c r="E403" t="s">
        <v>33</v>
      </c>
      <c r="F403" t="s">
        <v>48</v>
      </c>
      <c r="G403" t="s">
        <v>27</v>
      </c>
      <c r="H403" t="s">
        <v>117</v>
      </c>
      <c r="I403">
        <v>2</v>
      </c>
      <c r="J403">
        <v>73936</v>
      </c>
      <c r="K403">
        <v>0.15</v>
      </c>
      <c r="L403" t="s">
        <v>29</v>
      </c>
    </row>
    <row r="404" spans="1:12">
      <c r="A404" t="s">
        <v>784</v>
      </c>
      <c r="B404" t="s">
        <v>518</v>
      </c>
      <c r="C404" t="s">
        <v>74</v>
      </c>
      <c r="D404" t="s">
        <v>219</v>
      </c>
      <c r="E404" t="s">
        <v>33</v>
      </c>
      <c r="F404" t="s">
        <v>48</v>
      </c>
      <c r="G404" t="s">
        <v>61</v>
      </c>
      <c r="H404" t="s">
        <v>75</v>
      </c>
      <c r="I404">
        <v>8</v>
      </c>
      <c r="J404">
        <v>27621</v>
      </c>
      <c r="K404">
        <v>0.02</v>
      </c>
      <c r="L404" t="s">
        <v>51</v>
      </c>
    </row>
    <row r="405" spans="1:12">
      <c r="A405" t="s">
        <v>785</v>
      </c>
      <c r="B405" t="s">
        <v>786</v>
      </c>
      <c r="C405" t="s">
        <v>110</v>
      </c>
      <c r="D405" t="s">
        <v>66</v>
      </c>
      <c r="E405" t="s">
        <v>33</v>
      </c>
      <c r="F405" t="s">
        <v>26</v>
      </c>
      <c r="G405" t="s">
        <v>34</v>
      </c>
      <c r="H405" t="s">
        <v>35</v>
      </c>
      <c r="I405">
        <v>3</v>
      </c>
      <c r="J405">
        <v>4398</v>
      </c>
      <c r="K405">
        <v>0.05</v>
      </c>
      <c r="L405" t="s">
        <v>51</v>
      </c>
    </row>
    <row r="406" spans="1:12">
      <c r="A406" t="s">
        <v>787</v>
      </c>
      <c r="B406" t="s">
        <v>788</v>
      </c>
      <c r="C406" t="s">
        <v>89</v>
      </c>
      <c r="D406" t="s">
        <v>66</v>
      </c>
      <c r="E406" t="s">
        <v>41</v>
      </c>
      <c r="F406" t="s">
        <v>26</v>
      </c>
      <c r="G406" t="s">
        <v>27</v>
      </c>
      <c r="H406" t="s">
        <v>28</v>
      </c>
      <c r="I406">
        <v>2</v>
      </c>
      <c r="J406">
        <v>80853</v>
      </c>
      <c r="K406">
        <v>0.1</v>
      </c>
      <c r="L406" t="s">
        <v>57</v>
      </c>
    </row>
    <row r="407" spans="1:12">
      <c r="A407" t="s">
        <v>789</v>
      </c>
      <c r="B407" t="s">
        <v>225</v>
      </c>
      <c r="C407" t="s">
        <v>70</v>
      </c>
      <c r="D407" t="s">
        <v>191</v>
      </c>
      <c r="E407" t="s">
        <v>41</v>
      </c>
      <c r="F407" t="s">
        <v>48</v>
      </c>
      <c r="G407" t="s">
        <v>61</v>
      </c>
      <c r="H407" t="s">
        <v>75</v>
      </c>
      <c r="I407">
        <v>1</v>
      </c>
      <c r="J407">
        <v>15428</v>
      </c>
      <c r="K407">
        <v>0.1</v>
      </c>
      <c r="L407" t="s">
        <v>29</v>
      </c>
    </row>
    <row r="408" spans="1:12">
      <c r="A408" t="s">
        <v>790</v>
      </c>
      <c r="B408" t="s">
        <v>791</v>
      </c>
      <c r="C408" t="s">
        <v>54</v>
      </c>
      <c r="D408" t="s">
        <v>111</v>
      </c>
      <c r="E408" t="s">
        <v>25</v>
      </c>
      <c r="F408" t="s">
        <v>48</v>
      </c>
      <c r="G408" t="s">
        <v>42</v>
      </c>
      <c r="H408" t="s">
        <v>154</v>
      </c>
      <c r="I408">
        <v>3</v>
      </c>
      <c r="J408">
        <v>1013</v>
      </c>
      <c r="K408">
        <v>0.08</v>
      </c>
      <c r="L408" t="s">
        <v>51</v>
      </c>
    </row>
    <row r="409" spans="1:12">
      <c r="A409" t="s">
        <v>792</v>
      </c>
      <c r="B409" t="s">
        <v>346</v>
      </c>
      <c r="C409" t="s">
        <v>281</v>
      </c>
      <c r="D409" t="s">
        <v>79</v>
      </c>
      <c r="E409" t="s">
        <v>33</v>
      </c>
      <c r="F409" t="s">
        <v>94</v>
      </c>
      <c r="G409" t="s">
        <v>61</v>
      </c>
      <c r="H409" t="s">
        <v>62</v>
      </c>
      <c r="I409">
        <v>5</v>
      </c>
      <c r="J409">
        <v>27068</v>
      </c>
      <c r="K409">
        <v>0.05</v>
      </c>
      <c r="L409" t="s">
        <v>36</v>
      </c>
    </row>
    <row r="410" spans="1:12">
      <c r="A410" t="s">
        <v>793</v>
      </c>
      <c r="B410" t="s">
        <v>354</v>
      </c>
      <c r="C410" t="s">
        <v>46</v>
      </c>
      <c r="D410" t="s">
        <v>66</v>
      </c>
      <c r="E410" t="s">
        <v>41</v>
      </c>
      <c r="F410" t="s">
        <v>94</v>
      </c>
      <c r="G410" t="s">
        <v>61</v>
      </c>
      <c r="H410" t="s">
        <v>75</v>
      </c>
      <c r="I410">
        <v>1</v>
      </c>
      <c r="J410">
        <v>23868</v>
      </c>
      <c r="K410">
        <v>0.05</v>
      </c>
      <c r="L410" t="s">
        <v>51</v>
      </c>
    </row>
    <row r="411" spans="1:12">
      <c r="A411" t="s">
        <v>794</v>
      </c>
      <c r="B411" t="s">
        <v>795</v>
      </c>
      <c r="C411" t="s">
        <v>89</v>
      </c>
      <c r="D411" t="s">
        <v>219</v>
      </c>
      <c r="E411" t="s">
        <v>33</v>
      </c>
      <c r="F411" t="s">
        <v>94</v>
      </c>
      <c r="G411" t="s">
        <v>34</v>
      </c>
      <c r="H411" t="s">
        <v>35</v>
      </c>
      <c r="I411">
        <v>7</v>
      </c>
      <c r="J411">
        <v>1424</v>
      </c>
      <c r="K411">
        <v>0.08</v>
      </c>
      <c r="L411" t="s">
        <v>36</v>
      </c>
    </row>
    <row r="412" spans="1:12">
      <c r="A412" t="s">
        <v>796</v>
      </c>
      <c r="B412" t="s">
        <v>797</v>
      </c>
      <c r="C412" t="s">
        <v>46</v>
      </c>
      <c r="D412" t="s">
        <v>86</v>
      </c>
      <c r="E412" t="s">
        <v>33</v>
      </c>
      <c r="F412" t="s">
        <v>184</v>
      </c>
      <c r="G412" t="s">
        <v>61</v>
      </c>
      <c r="H412" t="s">
        <v>75</v>
      </c>
      <c r="I412">
        <v>6</v>
      </c>
      <c r="J412">
        <v>11802</v>
      </c>
      <c r="K412">
        <v>0.1</v>
      </c>
      <c r="L412" t="s">
        <v>29</v>
      </c>
    </row>
    <row r="413" spans="1:12">
      <c r="A413" t="s">
        <v>798</v>
      </c>
      <c r="B413" t="s">
        <v>294</v>
      </c>
      <c r="C413" t="s">
        <v>46</v>
      </c>
      <c r="D413" t="s">
        <v>66</v>
      </c>
      <c r="E413" t="s">
        <v>25</v>
      </c>
      <c r="F413" t="s">
        <v>48</v>
      </c>
      <c r="G413" t="s">
        <v>42</v>
      </c>
      <c r="H413" t="s">
        <v>154</v>
      </c>
      <c r="I413">
        <v>6</v>
      </c>
      <c r="J413">
        <v>1832</v>
      </c>
      <c r="K413">
        <v>0</v>
      </c>
      <c r="L413" t="s">
        <v>29</v>
      </c>
    </row>
    <row r="414" spans="1:12">
      <c r="A414" t="s">
        <v>799</v>
      </c>
      <c r="B414" t="s">
        <v>800</v>
      </c>
      <c r="C414" t="s">
        <v>23</v>
      </c>
      <c r="D414" t="s">
        <v>24</v>
      </c>
      <c r="E414" t="s">
        <v>25</v>
      </c>
      <c r="F414" t="s">
        <v>94</v>
      </c>
      <c r="G414" t="s">
        <v>27</v>
      </c>
      <c r="H414" t="s">
        <v>117</v>
      </c>
      <c r="I414">
        <v>1</v>
      </c>
      <c r="J414">
        <v>61871</v>
      </c>
      <c r="K414">
        <v>0.1</v>
      </c>
      <c r="L414" t="s">
        <v>51</v>
      </c>
    </row>
    <row r="415" spans="1:12">
      <c r="A415" t="s">
        <v>801</v>
      </c>
      <c r="B415" t="s">
        <v>107</v>
      </c>
      <c r="C415" t="s">
        <v>110</v>
      </c>
      <c r="D415" t="s">
        <v>79</v>
      </c>
      <c r="E415" t="s">
        <v>33</v>
      </c>
      <c r="F415" t="s">
        <v>26</v>
      </c>
      <c r="G415" t="s">
        <v>34</v>
      </c>
      <c r="H415" t="s">
        <v>98</v>
      </c>
      <c r="I415">
        <v>3</v>
      </c>
      <c r="J415">
        <v>4217</v>
      </c>
      <c r="K415">
        <v>0.1</v>
      </c>
      <c r="L415" t="s">
        <v>51</v>
      </c>
    </row>
    <row r="416" spans="1:12">
      <c r="A416" t="s">
        <v>802</v>
      </c>
      <c r="B416" t="s">
        <v>803</v>
      </c>
      <c r="C416" t="s">
        <v>46</v>
      </c>
      <c r="D416" t="s">
        <v>114</v>
      </c>
      <c r="E416" t="s">
        <v>41</v>
      </c>
      <c r="F416" t="s">
        <v>94</v>
      </c>
      <c r="G416" t="s">
        <v>61</v>
      </c>
      <c r="H416" t="s">
        <v>90</v>
      </c>
      <c r="I416">
        <v>8</v>
      </c>
      <c r="J416">
        <v>12972</v>
      </c>
      <c r="K416">
        <v>0.05</v>
      </c>
      <c r="L416" t="s">
        <v>51</v>
      </c>
    </row>
    <row r="417" spans="1:12">
      <c r="A417" t="s">
        <v>804</v>
      </c>
      <c r="B417" t="s">
        <v>274</v>
      </c>
      <c r="C417" t="s">
        <v>39</v>
      </c>
      <c r="D417" t="s">
        <v>127</v>
      </c>
      <c r="E417" t="s">
        <v>41</v>
      </c>
      <c r="F417" t="s">
        <v>48</v>
      </c>
      <c r="G417" t="s">
        <v>42</v>
      </c>
      <c r="H417" t="s">
        <v>154</v>
      </c>
      <c r="I417">
        <v>4</v>
      </c>
      <c r="J417">
        <v>3032</v>
      </c>
      <c r="K417">
        <v>0.08</v>
      </c>
      <c r="L417" t="s">
        <v>36</v>
      </c>
    </row>
    <row r="418" spans="1:12">
      <c r="A418" t="s">
        <v>805</v>
      </c>
      <c r="B418" t="s">
        <v>692</v>
      </c>
      <c r="C418" t="s">
        <v>70</v>
      </c>
      <c r="D418" t="s">
        <v>209</v>
      </c>
      <c r="E418" t="s">
        <v>41</v>
      </c>
      <c r="F418" t="s">
        <v>48</v>
      </c>
      <c r="G418" t="s">
        <v>49</v>
      </c>
      <c r="H418" t="s">
        <v>50</v>
      </c>
      <c r="I418">
        <v>3</v>
      </c>
      <c r="J418">
        <v>1696</v>
      </c>
      <c r="K418">
        <v>0</v>
      </c>
      <c r="L418" t="s">
        <v>51</v>
      </c>
    </row>
    <row r="419" spans="1:12">
      <c r="A419" t="s">
        <v>806</v>
      </c>
      <c r="B419" t="s">
        <v>807</v>
      </c>
      <c r="C419" t="s">
        <v>505</v>
      </c>
      <c r="D419" t="s">
        <v>105</v>
      </c>
      <c r="E419" t="s">
        <v>33</v>
      </c>
      <c r="F419" t="s">
        <v>26</v>
      </c>
      <c r="G419" t="s">
        <v>34</v>
      </c>
      <c r="H419" t="s">
        <v>98</v>
      </c>
      <c r="I419">
        <v>3</v>
      </c>
      <c r="J419">
        <v>3569</v>
      </c>
      <c r="K419">
        <v>0.15</v>
      </c>
      <c r="L419" t="s">
        <v>51</v>
      </c>
    </row>
    <row r="420" spans="1:12">
      <c r="A420" t="s">
        <v>808</v>
      </c>
      <c r="B420" t="s">
        <v>81</v>
      </c>
      <c r="C420" t="s">
        <v>110</v>
      </c>
      <c r="D420" t="s">
        <v>114</v>
      </c>
      <c r="E420" t="s">
        <v>33</v>
      </c>
      <c r="F420" t="s">
        <v>94</v>
      </c>
      <c r="G420" t="s">
        <v>49</v>
      </c>
      <c r="H420" t="s">
        <v>50</v>
      </c>
      <c r="I420">
        <v>3</v>
      </c>
      <c r="J420">
        <v>2961</v>
      </c>
      <c r="K420">
        <v>0</v>
      </c>
      <c r="L420" t="s">
        <v>36</v>
      </c>
    </row>
    <row r="421" spans="1:12">
      <c r="A421" t="s">
        <v>809</v>
      </c>
      <c r="B421" t="s">
        <v>810</v>
      </c>
      <c r="C421" t="s">
        <v>467</v>
      </c>
      <c r="D421" t="s">
        <v>24</v>
      </c>
      <c r="E421" t="s">
        <v>25</v>
      </c>
      <c r="F421" t="s">
        <v>94</v>
      </c>
      <c r="G421" t="s">
        <v>61</v>
      </c>
      <c r="H421" t="s">
        <v>90</v>
      </c>
      <c r="I421">
        <v>3</v>
      </c>
      <c r="J421">
        <v>12144</v>
      </c>
      <c r="K421">
        <v>0</v>
      </c>
      <c r="L421" t="s">
        <v>57</v>
      </c>
    </row>
    <row r="422" spans="1:12">
      <c r="A422" t="s">
        <v>811</v>
      </c>
      <c r="B422" t="s">
        <v>479</v>
      </c>
      <c r="C422" t="s">
        <v>23</v>
      </c>
      <c r="D422" t="s">
        <v>82</v>
      </c>
      <c r="E422" t="s">
        <v>41</v>
      </c>
      <c r="F422" t="s">
        <v>26</v>
      </c>
      <c r="G422" t="s">
        <v>42</v>
      </c>
      <c r="H422" t="s">
        <v>43</v>
      </c>
      <c r="I422">
        <v>6</v>
      </c>
      <c r="J422">
        <v>3439</v>
      </c>
      <c r="K422">
        <v>0</v>
      </c>
      <c r="L422" t="s">
        <v>36</v>
      </c>
    </row>
    <row r="423" spans="1:12">
      <c r="A423" t="s">
        <v>812</v>
      </c>
      <c r="B423" t="s">
        <v>813</v>
      </c>
      <c r="C423" t="s">
        <v>39</v>
      </c>
      <c r="D423" t="s">
        <v>138</v>
      </c>
      <c r="E423" t="s">
        <v>41</v>
      </c>
      <c r="F423" t="s">
        <v>48</v>
      </c>
      <c r="G423" t="s">
        <v>49</v>
      </c>
      <c r="H423" t="s">
        <v>50</v>
      </c>
      <c r="I423">
        <v>-1</v>
      </c>
      <c r="J423">
        <v>4581</v>
      </c>
      <c r="K423">
        <v>0.15</v>
      </c>
      <c r="L423" t="s">
        <v>51</v>
      </c>
    </row>
    <row r="424" spans="1:12">
      <c r="A424" t="s">
        <v>814</v>
      </c>
      <c r="B424" t="s">
        <v>815</v>
      </c>
      <c r="C424" t="s">
        <v>74</v>
      </c>
      <c r="D424" t="s">
        <v>79</v>
      </c>
      <c r="E424" t="s">
        <v>33</v>
      </c>
      <c r="F424" t="s">
        <v>94</v>
      </c>
      <c r="G424" t="s">
        <v>42</v>
      </c>
      <c r="H424" t="s">
        <v>154</v>
      </c>
      <c r="I424">
        <v>3</v>
      </c>
      <c r="J424">
        <v>2683</v>
      </c>
      <c r="K424">
        <v>0.05</v>
      </c>
      <c r="L424" t="s">
        <v>51</v>
      </c>
    </row>
    <row r="425" spans="1:12">
      <c r="A425" t="s">
        <v>816</v>
      </c>
      <c r="B425" t="s">
        <v>817</v>
      </c>
      <c r="C425" t="s">
        <v>89</v>
      </c>
      <c r="D425" t="s">
        <v>159</v>
      </c>
      <c r="E425" t="s">
        <v>41</v>
      </c>
      <c r="F425" t="s">
        <v>94</v>
      </c>
      <c r="G425" t="s">
        <v>61</v>
      </c>
      <c r="H425" t="s">
        <v>62</v>
      </c>
      <c r="I425">
        <v>8</v>
      </c>
      <c r="J425">
        <v>20389</v>
      </c>
      <c r="K425">
        <v>0.1</v>
      </c>
      <c r="L425" t="s">
        <v>29</v>
      </c>
    </row>
    <row r="426" spans="1:12">
      <c r="A426" t="s">
        <v>818</v>
      </c>
      <c r="B426" t="s">
        <v>368</v>
      </c>
      <c r="C426" t="s">
        <v>499</v>
      </c>
      <c r="D426" t="s">
        <v>55</v>
      </c>
      <c r="E426" t="s">
        <v>41</v>
      </c>
      <c r="F426" t="s">
        <v>26</v>
      </c>
      <c r="G426" t="s">
        <v>27</v>
      </c>
      <c r="H426" t="s">
        <v>141</v>
      </c>
      <c r="I426">
        <v>2</v>
      </c>
      <c r="J426">
        <v>71857</v>
      </c>
      <c r="K426">
        <v>0.1</v>
      </c>
      <c r="L426" t="s">
        <v>57</v>
      </c>
    </row>
    <row r="427" spans="1:12">
      <c r="A427" t="s">
        <v>819</v>
      </c>
      <c r="B427" t="s">
        <v>229</v>
      </c>
      <c r="C427" t="s">
        <v>820</v>
      </c>
      <c r="D427" t="s">
        <v>66</v>
      </c>
      <c r="E427" t="s">
        <v>33</v>
      </c>
      <c r="F427" t="s">
        <v>94</v>
      </c>
      <c r="G427" t="s">
        <v>42</v>
      </c>
      <c r="H427" t="s">
        <v>154</v>
      </c>
      <c r="I427">
        <v>4</v>
      </c>
      <c r="J427">
        <v>2057</v>
      </c>
      <c r="K427">
        <v>0.1</v>
      </c>
      <c r="L427" t="s">
        <v>36</v>
      </c>
    </row>
    <row r="428" spans="1:12">
      <c r="A428" t="s">
        <v>821</v>
      </c>
      <c r="B428" t="s">
        <v>199</v>
      </c>
      <c r="C428" t="s">
        <v>39</v>
      </c>
      <c r="D428" t="s">
        <v>105</v>
      </c>
      <c r="E428" t="s">
        <v>41</v>
      </c>
      <c r="F428" t="s">
        <v>26</v>
      </c>
      <c r="G428" t="s">
        <v>42</v>
      </c>
      <c r="H428" t="s">
        <v>154</v>
      </c>
      <c r="I428">
        <v>7</v>
      </c>
      <c r="J428">
        <v>1013</v>
      </c>
      <c r="K428">
        <v>0</v>
      </c>
      <c r="L428" t="s">
        <v>51</v>
      </c>
    </row>
    <row r="429" spans="1:12">
      <c r="A429" t="s">
        <v>822</v>
      </c>
      <c r="B429" t="s">
        <v>687</v>
      </c>
      <c r="C429" t="s">
        <v>70</v>
      </c>
      <c r="D429" t="s">
        <v>302</v>
      </c>
      <c r="E429" t="s">
        <v>33</v>
      </c>
      <c r="F429" t="s">
        <v>48</v>
      </c>
      <c r="G429" t="s">
        <v>34</v>
      </c>
      <c r="H429" t="s">
        <v>98</v>
      </c>
      <c r="I429">
        <v>4</v>
      </c>
      <c r="J429">
        <v>3481</v>
      </c>
      <c r="K429">
        <v>0.08</v>
      </c>
      <c r="L429" t="s">
        <v>51</v>
      </c>
    </row>
    <row r="430" spans="1:12">
      <c r="A430" t="s">
        <v>823</v>
      </c>
      <c r="B430" t="s">
        <v>549</v>
      </c>
      <c r="C430" t="s">
        <v>467</v>
      </c>
      <c r="D430" t="s">
        <v>60</v>
      </c>
      <c r="E430" t="s">
        <v>41</v>
      </c>
      <c r="F430" t="s">
        <v>94</v>
      </c>
      <c r="G430" t="s">
        <v>27</v>
      </c>
      <c r="H430" t="s">
        <v>117</v>
      </c>
      <c r="I430">
        <v>-1</v>
      </c>
      <c r="J430">
        <v>58610</v>
      </c>
      <c r="K430">
        <v>0.1</v>
      </c>
      <c r="L430" t="s">
        <v>29</v>
      </c>
    </row>
    <row r="431" spans="1:12">
      <c r="A431" t="s">
        <v>824</v>
      </c>
      <c r="B431" t="s">
        <v>825</v>
      </c>
      <c r="C431" t="s">
        <v>39</v>
      </c>
      <c r="D431" t="s">
        <v>71</v>
      </c>
      <c r="E431" t="s">
        <v>25</v>
      </c>
      <c r="F431" t="s">
        <v>243</v>
      </c>
      <c r="G431" t="s">
        <v>61</v>
      </c>
      <c r="H431" t="s">
        <v>62</v>
      </c>
      <c r="I431">
        <v>2</v>
      </c>
      <c r="J431">
        <v>25856</v>
      </c>
      <c r="K431" t="s">
        <v>122</v>
      </c>
      <c r="L431" t="s">
        <v>51</v>
      </c>
    </row>
    <row r="432" spans="1:12">
      <c r="A432" t="s">
        <v>826</v>
      </c>
      <c r="B432" t="s">
        <v>827</v>
      </c>
      <c r="C432" t="s">
        <v>110</v>
      </c>
      <c r="D432" t="s">
        <v>79</v>
      </c>
      <c r="E432" t="s">
        <v>41</v>
      </c>
      <c r="F432" t="s">
        <v>94</v>
      </c>
      <c r="G432" t="s">
        <v>42</v>
      </c>
      <c r="H432" t="s">
        <v>43</v>
      </c>
      <c r="I432">
        <v>3</v>
      </c>
      <c r="J432">
        <v>3009</v>
      </c>
      <c r="K432">
        <v>0.02</v>
      </c>
      <c r="L432" t="s">
        <v>51</v>
      </c>
    </row>
    <row r="433" spans="1:12">
      <c r="A433" t="s">
        <v>828</v>
      </c>
      <c r="B433" t="s">
        <v>122</v>
      </c>
      <c r="C433" t="s">
        <v>74</v>
      </c>
      <c r="D433" t="s">
        <v>285</v>
      </c>
      <c r="E433" t="s">
        <v>41</v>
      </c>
      <c r="F433" t="s">
        <v>48</v>
      </c>
      <c r="G433" t="s">
        <v>34</v>
      </c>
      <c r="H433" t="s">
        <v>98</v>
      </c>
      <c r="I433">
        <v>4</v>
      </c>
      <c r="J433">
        <v>1749</v>
      </c>
      <c r="K433">
        <v>0.02</v>
      </c>
      <c r="L433" t="s">
        <v>36</v>
      </c>
    </row>
    <row r="434" spans="1:12">
      <c r="A434" t="s">
        <v>829</v>
      </c>
      <c r="B434" t="s">
        <v>216</v>
      </c>
      <c r="C434" t="s">
        <v>39</v>
      </c>
      <c r="D434" t="s">
        <v>86</v>
      </c>
      <c r="E434" t="s">
        <v>33</v>
      </c>
      <c r="F434" t="s">
        <v>94</v>
      </c>
      <c r="G434" t="s">
        <v>49</v>
      </c>
      <c r="H434" t="s">
        <v>83</v>
      </c>
      <c r="I434">
        <v>3</v>
      </c>
      <c r="J434" t="s">
        <v>244</v>
      </c>
      <c r="K434">
        <v>0</v>
      </c>
      <c r="L434" t="s">
        <v>36</v>
      </c>
    </row>
    <row r="435" spans="1:12">
      <c r="A435" t="s">
        <v>830</v>
      </c>
      <c r="B435" t="s">
        <v>501</v>
      </c>
      <c r="C435" t="s">
        <v>74</v>
      </c>
      <c r="D435" t="s">
        <v>93</v>
      </c>
      <c r="E435" t="s">
        <v>41</v>
      </c>
      <c r="F435" t="s">
        <v>48</v>
      </c>
      <c r="G435" t="s">
        <v>27</v>
      </c>
      <c r="H435" t="s">
        <v>117</v>
      </c>
      <c r="I435">
        <v>2</v>
      </c>
      <c r="J435">
        <v>54393</v>
      </c>
      <c r="K435">
        <v>0</v>
      </c>
      <c r="L435" t="s">
        <v>51</v>
      </c>
    </row>
    <row r="436" spans="1:12">
      <c r="A436" t="s">
        <v>831</v>
      </c>
      <c r="B436" t="s">
        <v>832</v>
      </c>
      <c r="C436" t="s">
        <v>70</v>
      </c>
      <c r="D436" t="s">
        <v>24</v>
      </c>
      <c r="E436" t="s">
        <v>41</v>
      </c>
      <c r="F436" t="s">
        <v>26</v>
      </c>
      <c r="G436" t="s">
        <v>61</v>
      </c>
      <c r="H436" t="s">
        <v>75</v>
      </c>
      <c r="I436">
        <v>5</v>
      </c>
      <c r="J436">
        <v>23327</v>
      </c>
      <c r="K436">
        <v>0.15</v>
      </c>
      <c r="L436" t="s">
        <v>51</v>
      </c>
    </row>
    <row r="437" spans="1:12">
      <c r="A437" t="s">
        <v>833</v>
      </c>
      <c r="B437" t="s">
        <v>287</v>
      </c>
      <c r="C437" t="s">
        <v>499</v>
      </c>
      <c r="D437" t="s">
        <v>159</v>
      </c>
      <c r="E437" t="s">
        <v>41</v>
      </c>
      <c r="F437" t="s">
        <v>214</v>
      </c>
      <c r="G437" t="s">
        <v>61</v>
      </c>
      <c r="H437" t="s">
        <v>62</v>
      </c>
      <c r="I437">
        <v>6</v>
      </c>
      <c r="J437">
        <v>15386</v>
      </c>
      <c r="K437">
        <v>0</v>
      </c>
      <c r="L437" t="s">
        <v>51</v>
      </c>
    </row>
    <row r="438" spans="1:12">
      <c r="A438" t="s">
        <v>834</v>
      </c>
      <c r="B438" t="s">
        <v>481</v>
      </c>
      <c r="C438" t="s">
        <v>39</v>
      </c>
      <c r="D438" t="s">
        <v>55</v>
      </c>
      <c r="E438" t="s">
        <v>153</v>
      </c>
      <c r="F438" t="s">
        <v>26</v>
      </c>
      <c r="G438" t="s">
        <v>42</v>
      </c>
      <c r="H438" t="s">
        <v>67</v>
      </c>
      <c r="I438">
        <v>3</v>
      </c>
      <c r="J438">
        <v>2213</v>
      </c>
      <c r="K438">
        <v>0.15</v>
      </c>
      <c r="L438" t="s">
        <v>36</v>
      </c>
    </row>
    <row r="439" spans="1:12">
      <c r="A439" t="s">
        <v>835</v>
      </c>
      <c r="B439" t="s">
        <v>259</v>
      </c>
      <c r="C439" t="s">
        <v>23</v>
      </c>
      <c r="D439" t="s">
        <v>60</v>
      </c>
      <c r="E439" t="s">
        <v>25</v>
      </c>
      <c r="F439" t="s">
        <v>48</v>
      </c>
      <c r="G439" t="s">
        <v>34</v>
      </c>
      <c r="H439" t="s">
        <v>145</v>
      </c>
      <c r="I439">
        <v>7</v>
      </c>
      <c r="J439">
        <v>5429</v>
      </c>
      <c r="K439" t="s">
        <v>122</v>
      </c>
      <c r="L439" t="s">
        <v>36</v>
      </c>
    </row>
    <row r="440" spans="1:12">
      <c r="A440" t="s">
        <v>836</v>
      </c>
      <c r="B440" t="s">
        <v>837</v>
      </c>
      <c r="C440" t="s">
        <v>23</v>
      </c>
      <c r="D440" t="s">
        <v>32</v>
      </c>
      <c r="E440" t="s">
        <v>25</v>
      </c>
      <c r="F440" t="s">
        <v>48</v>
      </c>
      <c r="G440" t="s">
        <v>49</v>
      </c>
      <c r="H440" t="s">
        <v>83</v>
      </c>
      <c r="I440">
        <v>2</v>
      </c>
      <c r="J440">
        <v>5292</v>
      </c>
      <c r="K440">
        <v>0</v>
      </c>
      <c r="L440" t="s">
        <v>51</v>
      </c>
    </row>
    <row r="441" spans="1:12">
      <c r="A441" t="s">
        <v>838</v>
      </c>
      <c r="B441" t="s">
        <v>445</v>
      </c>
      <c r="C441" t="s">
        <v>46</v>
      </c>
      <c r="D441" t="s">
        <v>111</v>
      </c>
      <c r="E441" t="s">
        <v>41</v>
      </c>
      <c r="F441" t="s">
        <v>94</v>
      </c>
      <c r="G441" t="s">
        <v>61</v>
      </c>
      <c r="H441" t="s">
        <v>62</v>
      </c>
      <c r="I441">
        <v>6</v>
      </c>
      <c r="J441">
        <v>18406</v>
      </c>
      <c r="K441">
        <v>0.08</v>
      </c>
      <c r="L441" t="s">
        <v>51</v>
      </c>
    </row>
    <row r="442" spans="1:12">
      <c r="A442" t="s">
        <v>839</v>
      </c>
      <c r="B442" t="s">
        <v>840</v>
      </c>
      <c r="C442" t="s">
        <v>46</v>
      </c>
      <c r="D442" t="s">
        <v>60</v>
      </c>
      <c r="E442" t="s">
        <v>41</v>
      </c>
      <c r="F442" t="s">
        <v>214</v>
      </c>
      <c r="G442" t="s">
        <v>49</v>
      </c>
      <c r="H442" t="s">
        <v>83</v>
      </c>
      <c r="I442">
        <v>5</v>
      </c>
      <c r="J442">
        <v>4341</v>
      </c>
      <c r="K442">
        <v>0.02</v>
      </c>
      <c r="L442" t="s">
        <v>51</v>
      </c>
    </row>
    <row r="443" spans="1:12">
      <c r="A443" t="s">
        <v>841</v>
      </c>
      <c r="B443" t="s">
        <v>218</v>
      </c>
      <c r="C443" t="s">
        <v>39</v>
      </c>
      <c r="D443" t="s">
        <v>135</v>
      </c>
      <c r="E443" t="s">
        <v>41</v>
      </c>
      <c r="F443" t="s">
        <v>48</v>
      </c>
      <c r="G443" t="s">
        <v>27</v>
      </c>
      <c r="H443" t="s">
        <v>141</v>
      </c>
      <c r="I443">
        <v>6</v>
      </c>
      <c r="J443">
        <v>68519</v>
      </c>
      <c r="K443">
        <v>0.05</v>
      </c>
      <c r="L443" t="s">
        <v>36</v>
      </c>
    </row>
    <row r="444" spans="1:12">
      <c r="A444" t="s">
        <v>842</v>
      </c>
      <c r="B444" t="s">
        <v>843</v>
      </c>
      <c r="C444" t="s">
        <v>39</v>
      </c>
      <c r="D444" t="s">
        <v>191</v>
      </c>
      <c r="E444" t="s">
        <v>33</v>
      </c>
      <c r="F444" t="s">
        <v>26</v>
      </c>
      <c r="G444" t="s">
        <v>42</v>
      </c>
      <c r="H444" t="s">
        <v>43</v>
      </c>
      <c r="I444">
        <v>5</v>
      </c>
      <c r="J444">
        <v>2424</v>
      </c>
      <c r="K444">
        <v>0.1</v>
      </c>
      <c r="L444" t="s">
        <v>29</v>
      </c>
    </row>
    <row r="445" spans="1:12">
      <c r="A445" t="s">
        <v>844</v>
      </c>
      <c r="B445" t="s">
        <v>845</v>
      </c>
      <c r="C445" t="s">
        <v>39</v>
      </c>
      <c r="D445" t="s">
        <v>105</v>
      </c>
      <c r="E445" t="s">
        <v>25</v>
      </c>
      <c r="F445" t="s">
        <v>48</v>
      </c>
      <c r="G445" t="s">
        <v>34</v>
      </c>
      <c r="H445" t="s">
        <v>98</v>
      </c>
      <c r="I445">
        <v>4</v>
      </c>
      <c r="J445">
        <v>1206</v>
      </c>
      <c r="K445">
        <v>0.02</v>
      </c>
      <c r="L445" t="s">
        <v>51</v>
      </c>
    </row>
    <row r="446" spans="1:12">
      <c r="A446" t="s">
        <v>846</v>
      </c>
      <c r="B446" t="s">
        <v>687</v>
      </c>
      <c r="C446" t="s">
        <v>70</v>
      </c>
      <c r="D446" t="s">
        <v>66</v>
      </c>
      <c r="E446" t="s">
        <v>41</v>
      </c>
      <c r="F446" t="s">
        <v>26</v>
      </c>
      <c r="G446" t="s">
        <v>42</v>
      </c>
      <c r="H446" t="s">
        <v>154</v>
      </c>
      <c r="I446">
        <v>7</v>
      </c>
      <c r="J446">
        <v>2003</v>
      </c>
      <c r="K446">
        <v>0.05</v>
      </c>
      <c r="L446" t="s">
        <v>51</v>
      </c>
    </row>
    <row r="447" spans="1:12">
      <c r="A447" t="s">
        <v>847</v>
      </c>
      <c r="B447" t="s">
        <v>848</v>
      </c>
      <c r="C447" t="s">
        <v>39</v>
      </c>
      <c r="D447" t="s">
        <v>66</v>
      </c>
      <c r="E447" t="s">
        <v>41</v>
      </c>
      <c r="F447" t="s">
        <v>214</v>
      </c>
      <c r="G447" t="s">
        <v>42</v>
      </c>
      <c r="H447" t="s">
        <v>67</v>
      </c>
      <c r="I447">
        <v>5</v>
      </c>
      <c r="J447">
        <v>881</v>
      </c>
      <c r="K447">
        <v>0.08</v>
      </c>
      <c r="L447" t="s">
        <v>51</v>
      </c>
    </row>
    <row r="448" spans="1:12">
      <c r="A448" t="s">
        <v>849</v>
      </c>
      <c r="B448" t="s">
        <v>174</v>
      </c>
      <c r="C448" t="s">
        <v>70</v>
      </c>
      <c r="D448" t="s">
        <v>93</v>
      </c>
      <c r="E448" t="s">
        <v>41</v>
      </c>
      <c r="F448" t="s">
        <v>26</v>
      </c>
      <c r="G448" t="s">
        <v>42</v>
      </c>
      <c r="H448" t="s">
        <v>67</v>
      </c>
      <c r="I448">
        <v>8</v>
      </c>
      <c r="J448">
        <v>2272</v>
      </c>
      <c r="K448">
        <v>0</v>
      </c>
      <c r="L448" t="s">
        <v>29</v>
      </c>
    </row>
    <row r="449" spans="1:12">
      <c r="A449" t="s">
        <v>850</v>
      </c>
      <c r="B449" t="s">
        <v>851</v>
      </c>
      <c r="C449" t="s">
        <v>74</v>
      </c>
      <c r="D449" t="s">
        <v>302</v>
      </c>
      <c r="E449" t="s">
        <v>25</v>
      </c>
      <c r="F449" t="s">
        <v>94</v>
      </c>
      <c r="G449" t="s">
        <v>49</v>
      </c>
      <c r="H449" t="s">
        <v>83</v>
      </c>
      <c r="I449">
        <v>4</v>
      </c>
      <c r="J449">
        <v>3612</v>
      </c>
      <c r="K449">
        <v>0.1</v>
      </c>
      <c r="L449" t="s">
        <v>57</v>
      </c>
    </row>
    <row r="450" spans="1:12">
      <c r="A450" t="s">
        <v>852</v>
      </c>
      <c r="B450" t="s">
        <v>714</v>
      </c>
      <c r="C450" t="s">
        <v>89</v>
      </c>
      <c r="D450" t="s">
        <v>97</v>
      </c>
      <c r="E450" t="s">
        <v>25</v>
      </c>
      <c r="F450" t="s">
        <v>48</v>
      </c>
      <c r="G450" t="s">
        <v>34</v>
      </c>
      <c r="H450" t="s">
        <v>98</v>
      </c>
      <c r="I450">
        <v>1</v>
      </c>
      <c r="J450">
        <v>3859</v>
      </c>
      <c r="K450">
        <v>0.1</v>
      </c>
      <c r="L450" t="s">
        <v>51</v>
      </c>
    </row>
    <row r="451" spans="1:12">
      <c r="A451" t="s">
        <v>853</v>
      </c>
      <c r="B451" t="s">
        <v>840</v>
      </c>
      <c r="C451" t="s">
        <v>23</v>
      </c>
      <c r="D451" t="s">
        <v>71</v>
      </c>
      <c r="E451" t="s">
        <v>25</v>
      </c>
      <c r="F451" t="s">
        <v>26</v>
      </c>
      <c r="G451" t="s">
        <v>49</v>
      </c>
      <c r="H451" t="s">
        <v>50</v>
      </c>
      <c r="I451">
        <v>3</v>
      </c>
      <c r="J451">
        <v>1813</v>
      </c>
      <c r="K451">
        <v>0.1</v>
      </c>
      <c r="L451" t="s">
        <v>36</v>
      </c>
    </row>
    <row r="452" spans="1:12">
      <c r="A452" t="s">
        <v>854</v>
      </c>
      <c r="B452" t="s">
        <v>817</v>
      </c>
      <c r="C452" t="s">
        <v>39</v>
      </c>
      <c r="D452" t="s">
        <v>86</v>
      </c>
      <c r="E452" t="s">
        <v>33</v>
      </c>
      <c r="F452" t="s">
        <v>48</v>
      </c>
      <c r="G452" t="s">
        <v>61</v>
      </c>
      <c r="H452" t="s">
        <v>90</v>
      </c>
      <c r="I452">
        <v>8</v>
      </c>
      <c r="J452">
        <v>25844</v>
      </c>
      <c r="K452">
        <v>0.02</v>
      </c>
      <c r="L452" t="s">
        <v>29</v>
      </c>
    </row>
    <row r="453" spans="1:12">
      <c r="A453" t="s">
        <v>855</v>
      </c>
      <c r="B453" t="s">
        <v>856</v>
      </c>
      <c r="C453" t="s">
        <v>74</v>
      </c>
      <c r="D453" t="s">
        <v>66</v>
      </c>
      <c r="E453" t="s">
        <v>41</v>
      </c>
      <c r="F453" t="s">
        <v>94</v>
      </c>
      <c r="G453" t="s">
        <v>34</v>
      </c>
      <c r="H453" t="s">
        <v>35</v>
      </c>
      <c r="I453">
        <v>5</v>
      </c>
      <c r="J453">
        <v>3859</v>
      </c>
      <c r="K453">
        <v>0.15</v>
      </c>
      <c r="L453" t="s">
        <v>36</v>
      </c>
    </row>
    <row r="454" spans="1:12">
      <c r="A454" t="s">
        <v>857</v>
      </c>
      <c r="B454" t="s">
        <v>583</v>
      </c>
      <c r="C454" t="s">
        <v>54</v>
      </c>
      <c r="D454" t="s">
        <v>97</v>
      </c>
      <c r="E454" t="s">
        <v>41</v>
      </c>
      <c r="F454" t="s">
        <v>48</v>
      </c>
      <c r="G454" t="s">
        <v>42</v>
      </c>
      <c r="H454" t="s">
        <v>43</v>
      </c>
      <c r="I454">
        <v>6</v>
      </c>
      <c r="J454">
        <v>3286</v>
      </c>
      <c r="K454">
        <v>0</v>
      </c>
      <c r="L454" t="s">
        <v>51</v>
      </c>
    </row>
    <row r="455" spans="1:12">
      <c r="A455" t="s">
        <v>858</v>
      </c>
      <c r="B455" t="s">
        <v>797</v>
      </c>
      <c r="C455" t="s">
        <v>39</v>
      </c>
      <c r="D455" t="s">
        <v>93</v>
      </c>
      <c r="E455" t="s">
        <v>41</v>
      </c>
      <c r="F455" t="s">
        <v>94</v>
      </c>
      <c r="G455" t="s">
        <v>42</v>
      </c>
      <c r="H455" t="s">
        <v>154</v>
      </c>
      <c r="I455">
        <v>4</v>
      </c>
      <c r="J455">
        <v>2320</v>
      </c>
      <c r="K455">
        <v>0</v>
      </c>
      <c r="L455" t="s">
        <v>57</v>
      </c>
    </row>
    <row r="456" spans="1:12">
      <c r="A456" t="s">
        <v>859</v>
      </c>
      <c r="B456" t="s">
        <v>368</v>
      </c>
      <c r="C456" t="s">
        <v>89</v>
      </c>
      <c r="D456" t="s">
        <v>269</v>
      </c>
      <c r="E456" t="s">
        <v>41</v>
      </c>
      <c r="F456" t="s">
        <v>26</v>
      </c>
      <c r="G456" t="s">
        <v>34</v>
      </c>
      <c r="H456" t="s">
        <v>145</v>
      </c>
      <c r="I456">
        <v>8</v>
      </c>
      <c r="J456">
        <v>5253</v>
      </c>
      <c r="K456">
        <v>0.02</v>
      </c>
      <c r="L456" t="s">
        <v>51</v>
      </c>
    </row>
    <row r="457" spans="1:12">
      <c r="A457" t="s">
        <v>860</v>
      </c>
      <c r="B457" t="s">
        <v>779</v>
      </c>
      <c r="C457" t="s">
        <v>89</v>
      </c>
      <c r="D457" t="s">
        <v>97</v>
      </c>
      <c r="E457" t="s">
        <v>33</v>
      </c>
      <c r="F457" t="s">
        <v>26</v>
      </c>
      <c r="G457" t="s">
        <v>27</v>
      </c>
      <c r="H457" t="s">
        <v>117</v>
      </c>
      <c r="I457">
        <v>8</v>
      </c>
      <c r="J457">
        <v>46496</v>
      </c>
      <c r="K457">
        <v>0.15</v>
      </c>
      <c r="L457" t="s">
        <v>51</v>
      </c>
    </row>
    <row r="458" spans="1:12">
      <c r="A458" t="s">
        <v>861</v>
      </c>
      <c r="B458" t="s">
        <v>53</v>
      </c>
      <c r="C458" t="s">
        <v>54</v>
      </c>
      <c r="D458" t="s">
        <v>209</v>
      </c>
      <c r="E458" t="s">
        <v>25</v>
      </c>
      <c r="F458" t="s">
        <v>243</v>
      </c>
      <c r="G458" t="s">
        <v>27</v>
      </c>
      <c r="H458" t="s">
        <v>28</v>
      </c>
      <c r="I458">
        <v>8</v>
      </c>
      <c r="J458">
        <v>75093</v>
      </c>
      <c r="K458">
        <v>0.1</v>
      </c>
      <c r="L458" t="s">
        <v>36</v>
      </c>
    </row>
    <row r="459" spans="1:12">
      <c r="A459" t="s">
        <v>862</v>
      </c>
      <c r="B459" t="s">
        <v>382</v>
      </c>
      <c r="C459" t="s">
        <v>74</v>
      </c>
      <c r="D459" t="s">
        <v>138</v>
      </c>
      <c r="E459" t="s">
        <v>25</v>
      </c>
      <c r="F459" t="s">
        <v>26</v>
      </c>
      <c r="G459" t="s">
        <v>49</v>
      </c>
      <c r="H459" t="s">
        <v>249</v>
      </c>
      <c r="I459">
        <v>1</v>
      </c>
      <c r="J459">
        <v>4763</v>
      </c>
      <c r="K459">
        <v>0.05</v>
      </c>
      <c r="L459" t="s">
        <v>29</v>
      </c>
    </row>
    <row r="460" spans="1:12">
      <c r="A460" t="s">
        <v>863</v>
      </c>
      <c r="B460" t="s">
        <v>329</v>
      </c>
      <c r="C460" t="s">
        <v>46</v>
      </c>
      <c r="D460" t="s">
        <v>55</v>
      </c>
      <c r="E460" t="s">
        <v>25</v>
      </c>
      <c r="F460" t="s">
        <v>48</v>
      </c>
      <c r="G460" t="s">
        <v>27</v>
      </c>
      <c r="H460" t="s">
        <v>141</v>
      </c>
      <c r="I460">
        <v>8</v>
      </c>
      <c r="J460">
        <v>61038</v>
      </c>
      <c r="K460">
        <v>0.05</v>
      </c>
      <c r="L460" t="s">
        <v>29</v>
      </c>
    </row>
    <row r="461" spans="1:12">
      <c r="A461" t="s">
        <v>864</v>
      </c>
      <c r="B461" t="s">
        <v>137</v>
      </c>
      <c r="C461" t="s">
        <v>39</v>
      </c>
      <c r="D461" t="s">
        <v>285</v>
      </c>
      <c r="E461" t="s">
        <v>33</v>
      </c>
      <c r="F461" t="s">
        <v>26</v>
      </c>
      <c r="G461" t="s">
        <v>34</v>
      </c>
      <c r="H461" t="s">
        <v>35</v>
      </c>
      <c r="I461">
        <v>4</v>
      </c>
      <c r="J461">
        <v>4347</v>
      </c>
      <c r="K461">
        <v>0</v>
      </c>
      <c r="L461" t="s">
        <v>51</v>
      </c>
    </row>
    <row r="462" spans="1:12">
      <c r="A462" t="s">
        <v>865</v>
      </c>
      <c r="B462" t="s">
        <v>651</v>
      </c>
      <c r="C462" t="s">
        <v>110</v>
      </c>
      <c r="D462" t="s">
        <v>71</v>
      </c>
      <c r="E462" t="s">
        <v>33</v>
      </c>
      <c r="F462" t="s">
        <v>26</v>
      </c>
      <c r="G462" t="s">
        <v>61</v>
      </c>
      <c r="H462" t="s">
        <v>90</v>
      </c>
      <c r="I462">
        <v>2</v>
      </c>
      <c r="J462">
        <v>24859</v>
      </c>
      <c r="K462">
        <v>0.05</v>
      </c>
      <c r="L462" t="s">
        <v>51</v>
      </c>
    </row>
    <row r="463" spans="1:12">
      <c r="A463" t="s">
        <v>866</v>
      </c>
      <c r="B463" t="s">
        <v>791</v>
      </c>
      <c r="C463" t="s">
        <v>23</v>
      </c>
      <c r="D463" t="s">
        <v>144</v>
      </c>
      <c r="E463" t="s">
        <v>33</v>
      </c>
      <c r="F463" t="s">
        <v>48</v>
      </c>
      <c r="G463" t="s">
        <v>61</v>
      </c>
      <c r="H463" t="s">
        <v>62</v>
      </c>
      <c r="I463">
        <v>5</v>
      </c>
      <c r="J463">
        <v>12238</v>
      </c>
      <c r="K463">
        <v>0.1</v>
      </c>
      <c r="L463" t="s">
        <v>57</v>
      </c>
    </row>
    <row r="464" spans="1:12">
      <c r="A464" t="s">
        <v>867</v>
      </c>
      <c r="B464" t="s">
        <v>267</v>
      </c>
      <c r="C464" t="s">
        <v>74</v>
      </c>
      <c r="D464" t="s">
        <v>66</v>
      </c>
      <c r="E464" t="s">
        <v>25</v>
      </c>
      <c r="F464" t="s">
        <v>26</v>
      </c>
      <c r="G464" t="s">
        <v>34</v>
      </c>
      <c r="H464" t="s">
        <v>35</v>
      </c>
      <c r="I464">
        <v>4</v>
      </c>
      <c r="J464">
        <v>5480</v>
      </c>
      <c r="K464">
        <v>0.02</v>
      </c>
      <c r="L464" t="s">
        <v>51</v>
      </c>
    </row>
    <row r="465" spans="1:12">
      <c r="A465" t="s">
        <v>868</v>
      </c>
      <c r="B465" t="s">
        <v>869</v>
      </c>
      <c r="C465" t="s">
        <v>74</v>
      </c>
      <c r="D465" t="s">
        <v>55</v>
      </c>
      <c r="E465" t="s">
        <v>41</v>
      </c>
      <c r="F465" t="s">
        <v>26</v>
      </c>
      <c r="G465" t="s">
        <v>42</v>
      </c>
      <c r="H465" t="s">
        <v>67</v>
      </c>
      <c r="I465">
        <v>5</v>
      </c>
      <c r="J465">
        <v>1731</v>
      </c>
      <c r="K465" t="s">
        <v>122</v>
      </c>
      <c r="L465" t="s">
        <v>36</v>
      </c>
    </row>
    <row r="466" spans="1:12">
      <c r="A466" t="s">
        <v>870</v>
      </c>
      <c r="B466" t="s">
        <v>871</v>
      </c>
      <c r="C466" t="s">
        <v>39</v>
      </c>
      <c r="D466" t="s">
        <v>71</v>
      </c>
      <c r="E466" t="s">
        <v>25</v>
      </c>
      <c r="F466" t="s">
        <v>26</v>
      </c>
      <c r="G466" t="s">
        <v>49</v>
      </c>
      <c r="H466" t="s">
        <v>83</v>
      </c>
      <c r="I466">
        <v>5</v>
      </c>
      <c r="J466">
        <v>7013</v>
      </c>
      <c r="K466">
        <v>0</v>
      </c>
      <c r="L466" t="s">
        <v>29</v>
      </c>
    </row>
    <row r="467" spans="1:12">
      <c r="A467" t="s">
        <v>872</v>
      </c>
      <c r="B467" t="s">
        <v>389</v>
      </c>
      <c r="C467" t="s">
        <v>46</v>
      </c>
      <c r="D467" t="s">
        <v>350</v>
      </c>
      <c r="E467" t="s">
        <v>41</v>
      </c>
      <c r="F467" t="s">
        <v>94</v>
      </c>
      <c r="G467" t="s">
        <v>61</v>
      </c>
      <c r="H467" t="s">
        <v>75</v>
      </c>
      <c r="I467">
        <v>7</v>
      </c>
      <c r="J467" t="s">
        <v>244</v>
      </c>
      <c r="K467">
        <v>0.15</v>
      </c>
      <c r="L467" t="s">
        <v>51</v>
      </c>
    </row>
    <row r="468" spans="1:12">
      <c r="A468" t="s">
        <v>873</v>
      </c>
      <c r="B468" t="s">
        <v>874</v>
      </c>
      <c r="C468" t="s">
        <v>70</v>
      </c>
      <c r="D468" t="s">
        <v>93</v>
      </c>
      <c r="E468" t="s">
        <v>33</v>
      </c>
      <c r="F468" t="s">
        <v>48</v>
      </c>
      <c r="G468" t="s">
        <v>42</v>
      </c>
      <c r="H468" t="s">
        <v>43</v>
      </c>
      <c r="I468">
        <v>5</v>
      </c>
      <c r="J468">
        <v>1528</v>
      </c>
      <c r="K468">
        <v>0.05</v>
      </c>
      <c r="L468" t="s">
        <v>51</v>
      </c>
    </row>
    <row r="469" spans="1:12">
      <c r="A469" t="s">
        <v>875</v>
      </c>
      <c r="B469" t="s">
        <v>876</v>
      </c>
      <c r="C469" t="s">
        <v>54</v>
      </c>
      <c r="D469" t="s">
        <v>114</v>
      </c>
      <c r="E469" t="s">
        <v>41</v>
      </c>
      <c r="F469" t="s">
        <v>48</v>
      </c>
      <c r="G469" t="s">
        <v>27</v>
      </c>
      <c r="H469" t="s">
        <v>117</v>
      </c>
      <c r="I469">
        <v>7</v>
      </c>
      <c r="J469">
        <v>76918</v>
      </c>
      <c r="K469">
        <v>0</v>
      </c>
      <c r="L469" t="s">
        <v>51</v>
      </c>
    </row>
    <row r="470" spans="1:12">
      <c r="A470" t="s">
        <v>877</v>
      </c>
      <c r="B470" t="s">
        <v>878</v>
      </c>
      <c r="C470" t="s">
        <v>23</v>
      </c>
      <c r="D470" t="s">
        <v>219</v>
      </c>
      <c r="E470" t="s">
        <v>33</v>
      </c>
      <c r="F470" t="s">
        <v>94</v>
      </c>
      <c r="G470" t="s">
        <v>42</v>
      </c>
      <c r="H470" t="s">
        <v>67</v>
      </c>
      <c r="I470">
        <v>5</v>
      </c>
      <c r="J470">
        <v>2980</v>
      </c>
      <c r="K470">
        <v>0.15</v>
      </c>
      <c r="L470" t="s">
        <v>51</v>
      </c>
    </row>
    <row r="471" spans="1:12">
      <c r="A471" t="s">
        <v>879</v>
      </c>
      <c r="B471" t="s">
        <v>880</v>
      </c>
      <c r="C471" t="s">
        <v>65</v>
      </c>
      <c r="D471" t="s">
        <v>111</v>
      </c>
      <c r="E471" t="s">
        <v>25</v>
      </c>
      <c r="F471" t="s">
        <v>94</v>
      </c>
      <c r="G471" t="s">
        <v>34</v>
      </c>
      <c r="H471" t="s">
        <v>145</v>
      </c>
      <c r="I471">
        <v>8</v>
      </c>
      <c r="J471">
        <v>4565</v>
      </c>
      <c r="K471">
        <v>0</v>
      </c>
      <c r="L471" t="s">
        <v>57</v>
      </c>
    </row>
    <row r="472" spans="1:12">
      <c r="A472" t="s">
        <v>881</v>
      </c>
      <c r="B472" t="s">
        <v>882</v>
      </c>
      <c r="C472" t="s">
        <v>65</v>
      </c>
      <c r="D472" t="s">
        <v>71</v>
      </c>
      <c r="E472" t="s">
        <v>41</v>
      </c>
      <c r="F472" t="s">
        <v>26</v>
      </c>
      <c r="G472" t="s">
        <v>49</v>
      </c>
      <c r="H472" t="s">
        <v>249</v>
      </c>
      <c r="I472">
        <v>8</v>
      </c>
      <c r="J472" t="s">
        <v>244</v>
      </c>
      <c r="K472">
        <v>0.08</v>
      </c>
      <c r="L472" t="s">
        <v>36</v>
      </c>
    </row>
    <row r="473" spans="1:12">
      <c r="A473" t="s">
        <v>883</v>
      </c>
      <c r="B473" t="s">
        <v>348</v>
      </c>
      <c r="C473" t="s">
        <v>39</v>
      </c>
      <c r="D473" t="s">
        <v>200</v>
      </c>
      <c r="E473" t="s">
        <v>25</v>
      </c>
      <c r="F473" t="s">
        <v>26</v>
      </c>
      <c r="G473" t="s">
        <v>34</v>
      </c>
      <c r="H473" t="s">
        <v>35</v>
      </c>
      <c r="I473">
        <v>3</v>
      </c>
      <c r="J473">
        <v>2841</v>
      </c>
      <c r="K473">
        <v>0.02</v>
      </c>
      <c r="L473" t="s">
        <v>51</v>
      </c>
    </row>
    <row r="474" spans="1:12">
      <c r="A474" t="s">
        <v>884</v>
      </c>
      <c r="B474" t="s">
        <v>803</v>
      </c>
      <c r="C474" t="s">
        <v>89</v>
      </c>
      <c r="D474" t="s">
        <v>138</v>
      </c>
      <c r="E474" t="s">
        <v>25</v>
      </c>
      <c r="F474" t="s">
        <v>26</v>
      </c>
      <c r="G474" t="s">
        <v>61</v>
      </c>
      <c r="H474" t="s">
        <v>62</v>
      </c>
      <c r="I474">
        <v>8</v>
      </c>
      <c r="J474">
        <v>23406</v>
      </c>
      <c r="K474">
        <v>0.15</v>
      </c>
      <c r="L474" t="s">
        <v>36</v>
      </c>
    </row>
    <row r="475" spans="1:12">
      <c r="A475" t="s">
        <v>885</v>
      </c>
      <c r="B475" t="s">
        <v>100</v>
      </c>
      <c r="C475" t="s">
        <v>725</v>
      </c>
      <c r="D475" t="s">
        <v>159</v>
      </c>
      <c r="E475" t="s">
        <v>41</v>
      </c>
      <c r="F475" t="s">
        <v>48</v>
      </c>
      <c r="G475" t="s">
        <v>49</v>
      </c>
      <c r="H475" t="s">
        <v>83</v>
      </c>
      <c r="I475">
        <v>6</v>
      </c>
      <c r="J475">
        <v>5652</v>
      </c>
      <c r="K475">
        <v>0.08</v>
      </c>
      <c r="L475" t="s">
        <v>51</v>
      </c>
    </row>
    <row r="476" spans="1:12">
      <c r="A476" t="s">
        <v>886</v>
      </c>
      <c r="B476" t="s">
        <v>887</v>
      </c>
      <c r="C476" t="s">
        <v>74</v>
      </c>
      <c r="D476" t="s">
        <v>24</v>
      </c>
      <c r="E476" t="s">
        <v>25</v>
      </c>
      <c r="F476" t="s">
        <v>26</v>
      </c>
      <c r="G476" t="s">
        <v>42</v>
      </c>
      <c r="H476" t="s">
        <v>67</v>
      </c>
      <c r="I476">
        <v>1</v>
      </c>
      <c r="J476">
        <v>1719</v>
      </c>
      <c r="K476">
        <v>0.02</v>
      </c>
      <c r="L476" t="s">
        <v>57</v>
      </c>
    </row>
    <row r="477" spans="1:12">
      <c r="A477" t="s">
        <v>888</v>
      </c>
      <c r="B477" t="s">
        <v>889</v>
      </c>
      <c r="C477" t="s">
        <v>89</v>
      </c>
      <c r="D477" t="s">
        <v>138</v>
      </c>
      <c r="E477" t="s">
        <v>25</v>
      </c>
      <c r="F477" t="s">
        <v>48</v>
      </c>
      <c r="G477" t="s">
        <v>27</v>
      </c>
      <c r="H477" t="s">
        <v>28</v>
      </c>
      <c r="I477">
        <v>6</v>
      </c>
      <c r="J477">
        <v>77607</v>
      </c>
      <c r="K477">
        <v>0.05</v>
      </c>
      <c r="L477" t="s">
        <v>57</v>
      </c>
    </row>
    <row r="478" spans="1:12">
      <c r="A478" t="s">
        <v>890</v>
      </c>
      <c r="B478" t="s">
        <v>891</v>
      </c>
      <c r="C478" t="s">
        <v>46</v>
      </c>
      <c r="D478" t="s">
        <v>71</v>
      </c>
      <c r="E478" t="s">
        <v>41</v>
      </c>
      <c r="F478" t="s">
        <v>26</v>
      </c>
      <c r="G478" t="s">
        <v>27</v>
      </c>
      <c r="H478" t="s">
        <v>28</v>
      </c>
      <c r="I478">
        <v>1</v>
      </c>
      <c r="J478">
        <v>75437</v>
      </c>
      <c r="K478">
        <v>0.05</v>
      </c>
      <c r="L478" t="s">
        <v>29</v>
      </c>
    </row>
    <row r="479" spans="1:12">
      <c r="A479" t="s">
        <v>892</v>
      </c>
      <c r="B479" t="s">
        <v>893</v>
      </c>
      <c r="C479" t="s">
        <v>54</v>
      </c>
      <c r="D479" t="s">
        <v>32</v>
      </c>
      <c r="E479" t="s">
        <v>33</v>
      </c>
      <c r="F479" t="s">
        <v>26</v>
      </c>
      <c r="G479" t="s">
        <v>27</v>
      </c>
      <c r="H479" t="s">
        <v>117</v>
      </c>
      <c r="I479">
        <v>5</v>
      </c>
      <c r="J479">
        <v>71465</v>
      </c>
      <c r="K479">
        <v>0.02</v>
      </c>
      <c r="L479" t="s">
        <v>36</v>
      </c>
    </row>
    <row r="480" spans="1:12">
      <c r="A480" t="s">
        <v>894</v>
      </c>
      <c r="B480" t="s">
        <v>895</v>
      </c>
      <c r="C480" t="s">
        <v>89</v>
      </c>
      <c r="D480" t="s">
        <v>144</v>
      </c>
      <c r="E480" t="s">
        <v>41</v>
      </c>
      <c r="F480" t="s">
        <v>26</v>
      </c>
      <c r="G480" t="s">
        <v>42</v>
      </c>
      <c r="H480" t="s">
        <v>154</v>
      </c>
      <c r="I480">
        <v>1</v>
      </c>
      <c r="J480">
        <v>1285</v>
      </c>
      <c r="K480">
        <v>0.02</v>
      </c>
      <c r="L480" t="s">
        <v>51</v>
      </c>
    </row>
    <row r="481" spans="1:12">
      <c r="A481" t="s">
        <v>896</v>
      </c>
      <c r="B481" t="s">
        <v>871</v>
      </c>
      <c r="C481" t="s">
        <v>562</v>
      </c>
      <c r="D481" t="s">
        <v>200</v>
      </c>
      <c r="E481" t="s">
        <v>33</v>
      </c>
      <c r="F481" t="s">
        <v>48</v>
      </c>
      <c r="G481" t="s">
        <v>61</v>
      </c>
      <c r="H481" t="s">
        <v>62</v>
      </c>
      <c r="I481">
        <v>6</v>
      </c>
      <c r="J481">
        <v>26986</v>
      </c>
      <c r="K481">
        <v>0.1</v>
      </c>
      <c r="L481" t="s">
        <v>51</v>
      </c>
    </row>
    <row r="482" spans="1:12">
      <c r="A482" t="s">
        <v>897</v>
      </c>
      <c r="B482" t="s">
        <v>172</v>
      </c>
      <c r="C482" t="s">
        <v>39</v>
      </c>
      <c r="D482" t="s">
        <v>97</v>
      </c>
      <c r="E482" t="s">
        <v>25</v>
      </c>
      <c r="F482" t="s">
        <v>94</v>
      </c>
      <c r="G482" t="s">
        <v>49</v>
      </c>
      <c r="H482" t="s">
        <v>249</v>
      </c>
      <c r="I482">
        <v>1</v>
      </c>
      <c r="J482">
        <v>3317</v>
      </c>
      <c r="K482">
        <v>0.02</v>
      </c>
      <c r="L482" t="s">
        <v>36</v>
      </c>
    </row>
    <row r="483" spans="1:12">
      <c r="A483" t="s">
        <v>898</v>
      </c>
      <c r="B483" t="s">
        <v>348</v>
      </c>
      <c r="C483" t="s">
        <v>74</v>
      </c>
      <c r="D483" t="s">
        <v>105</v>
      </c>
      <c r="E483" t="s">
        <v>56</v>
      </c>
      <c r="F483" t="s">
        <v>94</v>
      </c>
      <c r="G483" t="s">
        <v>49</v>
      </c>
      <c r="H483" t="s">
        <v>50</v>
      </c>
      <c r="I483">
        <v>7</v>
      </c>
      <c r="J483">
        <v>3928</v>
      </c>
      <c r="K483">
        <v>0.1</v>
      </c>
      <c r="L483" t="s">
        <v>29</v>
      </c>
    </row>
    <row r="484" spans="1:12">
      <c r="A484" t="s">
        <v>899</v>
      </c>
      <c r="B484" t="s">
        <v>122</v>
      </c>
      <c r="C484" t="s">
        <v>70</v>
      </c>
      <c r="D484" t="s">
        <v>350</v>
      </c>
      <c r="E484" t="s">
        <v>33</v>
      </c>
      <c r="F484" t="s">
        <v>94</v>
      </c>
      <c r="G484" t="s">
        <v>61</v>
      </c>
      <c r="H484" t="s">
        <v>62</v>
      </c>
      <c r="I484">
        <v>2</v>
      </c>
      <c r="J484">
        <v>21812</v>
      </c>
      <c r="K484">
        <v>0.02</v>
      </c>
      <c r="L484" t="s">
        <v>51</v>
      </c>
    </row>
    <row r="485" spans="1:12">
      <c r="A485" t="s">
        <v>900</v>
      </c>
      <c r="B485" t="s">
        <v>113</v>
      </c>
      <c r="C485" t="s">
        <v>46</v>
      </c>
      <c r="D485" t="s">
        <v>135</v>
      </c>
      <c r="E485" t="s">
        <v>33</v>
      </c>
      <c r="F485" t="s">
        <v>26</v>
      </c>
      <c r="G485" t="s">
        <v>42</v>
      </c>
      <c r="H485" t="s">
        <v>43</v>
      </c>
      <c r="I485">
        <v>6</v>
      </c>
      <c r="J485">
        <v>988</v>
      </c>
      <c r="K485">
        <v>0.05</v>
      </c>
      <c r="L485" t="s">
        <v>51</v>
      </c>
    </row>
    <row r="486" spans="1:12">
      <c r="A486" t="s">
        <v>901</v>
      </c>
      <c r="B486" t="s">
        <v>902</v>
      </c>
      <c r="C486" t="s">
        <v>70</v>
      </c>
      <c r="D486" t="s">
        <v>269</v>
      </c>
      <c r="E486" t="s">
        <v>41</v>
      </c>
      <c r="F486" t="s">
        <v>48</v>
      </c>
      <c r="G486" t="s">
        <v>42</v>
      </c>
      <c r="H486" t="s">
        <v>154</v>
      </c>
      <c r="I486">
        <v>5</v>
      </c>
      <c r="J486">
        <v>1847</v>
      </c>
      <c r="K486">
        <v>0.05</v>
      </c>
      <c r="L486" t="s">
        <v>36</v>
      </c>
    </row>
    <row r="487" spans="1:12">
      <c r="A487" t="s">
        <v>903</v>
      </c>
      <c r="B487" t="s">
        <v>176</v>
      </c>
      <c r="C487" t="s">
        <v>23</v>
      </c>
      <c r="D487" t="s">
        <v>269</v>
      </c>
      <c r="E487" t="s">
        <v>41</v>
      </c>
      <c r="F487" t="s">
        <v>26</v>
      </c>
      <c r="G487" t="s">
        <v>49</v>
      </c>
      <c r="H487" t="s">
        <v>50</v>
      </c>
      <c r="I487">
        <v>2</v>
      </c>
      <c r="J487">
        <v>6428</v>
      </c>
      <c r="K487">
        <v>0.1</v>
      </c>
      <c r="L487" t="s">
        <v>36</v>
      </c>
    </row>
    <row r="488" spans="1:12">
      <c r="A488" t="s">
        <v>904</v>
      </c>
      <c r="B488" t="s">
        <v>815</v>
      </c>
      <c r="C488" t="s">
        <v>89</v>
      </c>
      <c r="D488" t="s">
        <v>97</v>
      </c>
      <c r="E488" t="s">
        <v>41</v>
      </c>
      <c r="F488" t="s">
        <v>26</v>
      </c>
      <c r="G488" t="s">
        <v>42</v>
      </c>
      <c r="H488" t="s">
        <v>154</v>
      </c>
      <c r="I488">
        <v>6</v>
      </c>
      <c r="J488">
        <v>798</v>
      </c>
      <c r="K488">
        <v>0</v>
      </c>
      <c r="L488" t="s">
        <v>51</v>
      </c>
    </row>
    <row r="489" spans="1:12">
      <c r="A489" t="s">
        <v>905</v>
      </c>
      <c r="B489" t="s">
        <v>906</v>
      </c>
      <c r="C489" t="s">
        <v>110</v>
      </c>
      <c r="D489" t="s">
        <v>219</v>
      </c>
      <c r="E489" t="s">
        <v>33</v>
      </c>
      <c r="F489" t="s">
        <v>94</v>
      </c>
      <c r="G489" t="s">
        <v>49</v>
      </c>
      <c r="H489" t="s">
        <v>50</v>
      </c>
      <c r="I489">
        <v>6</v>
      </c>
      <c r="J489">
        <v>2228</v>
      </c>
      <c r="K489">
        <v>0.05</v>
      </c>
      <c r="L489" t="s">
        <v>57</v>
      </c>
    </row>
    <row r="490" spans="1:12">
      <c r="A490" t="s">
        <v>907</v>
      </c>
      <c r="B490" t="s">
        <v>908</v>
      </c>
      <c r="C490" t="s">
        <v>23</v>
      </c>
      <c r="D490" t="s">
        <v>159</v>
      </c>
      <c r="E490" t="s">
        <v>33</v>
      </c>
      <c r="F490" t="s">
        <v>26</v>
      </c>
      <c r="G490" t="s">
        <v>61</v>
      </c>
      <c r="H490" t="s">
        <v>75</v>
      </c>
      <c r="I490">
        <v>5</v>
      </c>
      <c r="J490">
        <v>12652</v>
      </c>
      <c r="K490">
        <v>0.1</v>
      </c>
      <c r="L490" t="s">
        <v>57</v>
      </c>
    </row>
    <row r="491" spans="1:12">
      <c r="A491" t="s">
        <v>909</v>
      </c>
      <c r="B491" t="s">
        <v>487</v>
      </c>
      <c r="C491" t="s">
        <v>110</v>
      </c>
      <c r="D491" t="s">
        <v>130</v>
      </c>
      <c r="E491" t="s">
        <v>25</v>
      </c>
      <c r="F491" t="s">
        <v>94</v>
      </c>
      <c r="G491" t="s">
        <v>34</v>
      </c>
      <c r="H491" t="s">
        <v>145</v>
      </c>
      <c r="I491">
        <v>3</v>
      </c>
      <c r="J491">
        <v>4825</v>
      </c>
      <c r="K491">
        <v>0.15</v>
      </c>
      <c r="L491" t="s">
        <v>51</v>
      </c>
    </row>
    <row r="492" spans="1:12">
      <c r="A492" t="s">
        <v>910</v>
      </c>
      <c r="B492" t="s">
        <v>749</v>
      </c>
      <c r="C492" t="s">
        <v>110</v>
      </c>
      <c r="D492" t="s">
        <v>285</v>
      </c>
      <c r="E492" t="s">
        <v>33</v>
      </c>
      <c r="F492" t="s">
        <v>26</v>
      </c>
      <c r="G492" t="s">
        <v>61</v>
      </c>
      <c r="H492" t="s">
        <v>62</v>
      </c>
      <c r="I492">
        <v>6</v>
      </c>
      <c r="J492">
        <v>22094</v>
      </c>
      <c r="K492">
        <v>0.05</v>
      </c>
      <c r="L492" t="s">
        <v>29</v>
      </c>
    </row>
    <row r="493" spans="1:12">
      <c r="A493" t="s">
        <v>911</v>
      </c>
      <c r="B493" t="s">
        <v>800</v>
      </c>
      <c r="C493" t="s">
        <v>78</v>
      </c>
      <c r="D493" t="s">
        <v>127</v>
      </c>
      <c r="E493" t="s">
        <v>194</v>
      </c>
      <c r="F493" t="s">
        <v>94</v>
      </c>
      <c r="G493" t="s">
        <v>34</v>
      </c>
      <c r="H493" t="s">
        <v>145</v>
      </c>
      <c r="I493">
        <v>8</v>
      </c>
      <c r="J493">
        <v>1635</v>
      </c>
      <c r="K493" t="s">
        <v>122</v>
      </c>
      <c r="L493" t="s">
        <v>57</v>
      </c>
    </row>
    <row r="494" spans="1:12">
      <c r="A494" t="s">
        <v>912</v>
      </c>
      <c r="B494" t="s">
        <v>913</v>
      </c>
      <c r="C494" t="s">
        <v>70</v>
      </c>
      <c r="D494" t="s">
        <v>60</v>
      </c>
      <c r="E494" t="s">
        <v>33</v>
      </c>
      <c r="F494" t="s">
        <v>48</v>
      </c>
      <c r="G494" t="s">
        <v>42</v>
      </c>
      <c r="H494" t="s">
        <v>43</v>
      </c>
      <c r="I494">
        <v>5</v>
      </c>
      <c r="J494">
        <v>1969</v>
      </c>
      <c r="K494">
        <v>0.05</v>
      </c>
      <c r="L494" t="s">
        <v>51</v>
      </c>
    </row>
    <row r="495" spans="1:12">
      <c r="A495" t="s">
        <v>914</v>
      </c>
      <c r="B495" t="s">
        <v>361</v>
      </c>
      <c r="C495" t="s">
        <v>70</v>
      </c>
      <c r="D495" t="s">
        <v>350</v>
      </c>
      <c r="E495" t="s">
        <v>41</v>
      </c>
      <c r="F495" t="s">
        <v>94</v>
      </c>
      <c r="G495" t="s">
        <v>61</v>
      </c>
      <c r="H495" t="s">
        <v>75</v>
      </c>
      <c r="I495">
        <v>2</v>
      </c>
      <c r="J495">
        <v>9966</v>
      </c>
      <c r="K495">
        <v>0</v>
      </c>
      <c r="L495" t="s">
        <v>29</v>
      </c>
    </row>
    <row r="496" spans="1:12">
      <c r="A496" t="s">
        <v>915</v>
      </c>
      <c r="B496" t="s">
        <v>916</v>
      </c>
      <c r="C496" t="s">
        <v>23</v>
      </c>
      <c r="D496" t="s">
        <v>209</v>
      </c>
      <c r="E496" t="s">
        <v>194</v>
      </c>
      <c r="F496" t="s">
        <v>94</v>
      </c>
      <c r="G496" t="s">
        <v>27</v>
      </c>
      <c r="H496" t="s">
        <v>141</v>
      </c>
      <c r="I496">
        <v>1</v>
      </c>
      <c r="J496">
        <v>51162</v>
      </c>
      <c r="K496">
        <v>0.1</v>
      </c>
      <c r="L496" t="s">
        <v>51</v>
      </c>
    </row>
    <row r="497" spans="1:12">
      <c r="A497" t="s">
        <v>917</v>
      </c>
      <c r="B497" t="s">
        <v>918</v>
      </c>
      <c r="C497" t="s">
        <v>725</v>
      </c>
      <c r="D497" t="s">
        <v>32</v>
      </c>
      <c r="E497" t="s">
        <v>33</v>
      </c>
      <c r="F497" t="s">
        <v>48</v>
      </c>
      <c r="G497" t="s">
        <v>61</v>
      </c>
      <c r="H497" t="s">
        <v>62</v>
      </c>
      <c r="I497">
        <v>3</v>
      </c>
      <c r="J497">
        <v>21260</v>
      </c>
      <c r="K497">
        <v>0.1</v>
      </c>
      <c r="L497" t="s">
        <v>51</v>
      </c>
    </row>
    <row r="498" spans="1:12">
      <c r="A498" t="s">
        <v>919</v>
      </c>
      <c r="B498" t="s">
        <v>920</v>
      </c>
      <c r="C498" t="s">
        <v>110</v>
      </c>
      <c r="D498" t="s">
        <v>71</v>
      </c>
      <c r="E498" t="s">
        <v>56</v>
      </c>
      <c r="F498" t="s">
        <v>48</v>
      </c>
      <c r="G498" t="s">
        <v>49</v>
      </c>
      <c r="H498" t="s">
        <v>83</v>
      </c>
      <c r="I498">
        <v>2</v>
      </c>
      <c r="J498">
        <v>6978</v>
      </c>
      <c r="K498">
        <v>0.05</v>
      </c>
      <c r="L498" t="s">
        <v>51</v>
      </c>
    </row>
    <row r="499" spans="1:12">
      <c r="A499" t="s">
        <v>921</v>
      </c>
      <c r="B499" t="s">
        <v>462</v>
      </c>
      <c r="C499" t="s">
        <v>70</v>
      </c>
      <c r="D499" t="s">
        <v>269</v>
      </c>
      <c r="E499" t="s">
        <v>56</v>
      </c>
      <c r="F499" t="s">
        <v>48</v>
      </c>
      <c r="G499" t="s">
        <v>49</v>
      </c>
      <c r="H499" t="s">
        <v>50</v>
      </c>
      <c r="I499">
        <v>8</v>
      </c>
      <c r="J499">
        <v>2609</v>
      </c>
      <c r="K499">
        <v>0.02</v>
      </c>
      <c r="L499" t="s">
        <v>51</v>
      </c>
    </row>
    <row r="500" spans="1:12">
      <c r="A500" t="s">
        <v>922</v>
      </c>
      <c r="B500" t="s">
        <v>337</v>
      </c>
      <c r="C500" t="s">
        <v>46</v>
      </c>
      <c r="D500" t="s">
        <v>79</v>
      </c>
      <c r="E500" t="s">
        <v>194</v>
      </c>
      <c r="F500" t="s">
        <v>26</v>
      </c>
      <c r="G500" t="s">
        <v>61</v>
      </c>
      <c r="H500" t="s">
        <v>75</v>
      </c>
      <c r="I500">
        <v>1</v>
      </c>
      <c r="J500">
        <v>27719</v>
      </c>
      <c r="K500">
        <v>0.1</v>
      </c>
      <c r="L500" t="s">
        <v>51</v>
      </c>
    </row>
    <row r="501" spans="1:12">
      <c r="A501" t="s">
        <v>923</v>
      </c>
      <c r="B501" t="s">
        <v>924</v>
      </c>
      <c r="C501" t="s">
        <v>89</v>
      </c>
      <c r="D501" t="s">
        <v>125</v>
      </c>
      <c r="E501" t="s">
        <v>41</v>
      </c>
      <c r="F501" t="s">
        <v>94</v>
      </c>
      <c r="G501" t="s">
        <v>27</v>
      </c>
      <c r="H501" t="s">
        <v>117</v>
      </c>
      <c r="I501">
        <v>4</v>
      </c>
      <c r="J501">
        <v>77458</v>
      </c>
      <c r="K501">
        <v>0.15</v>
      </c>
      <c r="L501" t="s">
        <v>51</v>
      </c>
    </row>
    <row r="502" spans="1:12">
      <c r="A502" t="s">
        <v>925</v>
      </c>
      <c r="B502" t="s">
        <v>378</v>
      </c>
      <c r="C502" t="s">
        <v>110</v>
      </c>
      <c r="D502" t="s">
        <v>24</v>
      </c>
      <c r="E502" t="s">
        <v>194</v>
      </c>
      <c r="F502" t="s">
        <v>26</v>
      </c>
      <c r="G502" t="s">
        <v>49</v>
      </c>
      <c r="H502" t="s">
        <v>50</v>
      </c>
      <c r="I502">
        <v>7</v>
      </c>
      <c r="J502">
        <v>4906</v>
      </c>
      <c r="K502">
        <v>0.08</v>
      </c>
      <c r="L502" t="s">
        <v>51</v>
      </c>
    </row>
    <row r="503" spans="1:12">
      <c r="A503" t="s">
        <v>926</v>
      </c>
      <c r="B503" t="s">
        <v>229</v>
      </c>
      <c r="C503" t="s">
        <v>110</v>
      </c>
      <c r="D503" t="s">
        <v>24</v>
      </c>
      <c r="E503" t="s">
        <v>41</v>
      </c>
      <c r="F503" t="s">
        <v>26</v>
      </c>
      <c r="G503" t="s">
        <v>34</v>
      </c>
      <c r="H503" t="s">
        <v>35</v>
      </c>
      <c r="I503">
        <v>5</v>
      </c>
      <c r="J503">
        <v>3546</v>
      </c>
      <c r="K503">
        <v>0</v>
      </c>
      <c r="L503" t="s">
        <v>51</v>
      </c>
    </row>
    <row r="504" spans="1:12">
      <c r="A504" t="s">
        <v>927</v>
      </c>
      <c r="B504" t="s">
        <v>332</v>
      </c>
      <c r="C504" t="s">
        <v>89</v>
      </c>
      <c r="D504" t="s">
        <v>209</v>
      </c>
      <c r="E504" t="s">
        <v>41</v>
      </c>
      <c r="F504" t="s">
        <v>94</v>
      </c>
      <c r="G504" t="s">
        <v>49</v>
      </c>
      <c r="H504" t="s">
        <v>83</v>
      </c>
      <c r="I504">
        <v>4</v>
      </c>
      <c r="J504">
        <v>5625</v>
      </c>
      <c r="K504">
        <v>0.02</v>
      </c>
      <c r="L504" t="s">
        <v>36</v>
      </c>
    </row>
    <row r="505" spans="1:12">
      <c r="A505" t="s">
        <v>928</v>
      </c>
      <c r="B505" t="s">
        <v>85</v>
      </c>
      <c r="C505" t="s">
        <v>23</v>
      </c>
      <c r="D505" t="s">
        <v>32</v>
      </c>
      <c r="E505" t="s">
        <v>33</v>
      </c>
      <c r="F505" t="s">
        <v>26</v>
      </c>
      <c r="G505" t="s">
        <v>27</v>
      </c>
      <c r="H505" t="s">
        <v>141</v>
      </c>
      <c r="I505">
        <v>-1</v>
      </c>
      <c r="J505">
        <v>61107</v>
      </c>
      <c r="K505">
        <v>0.1</v>
      </c>
      <c r="L505" t="s">
        <v>51</v>
      </c>
    </row>
    <row r="506" spans="1:12">
      <c r="A506" t="s">
        <v>929</v>
      </c>
      <c r="B506" t="s">
        <v>720</v>
      </c>
      <c r="C506" t="s">
        <v>70</v>
      </c>
      <c r="D506" t="s">
        <v>111</v>
      </c>
      <c r="E506" t="s">
        <v>33</v>
      </c>
      <c r="F506" t="s">
        <v>94</v>
      </c>
      <c r="G506" t="s">
        <v>61</v>
      </c>
      <c r="H506" t="s">
        <v>90</v>
      </c>
      <c r="I506">
        <v>8</v>
      </c>
      <c r="J506">
        <v>26877</v>
      </c>
      <c r="K506">
        <v>0.1</v>
      </c>
      <c r="L506" t="s">
        <v>36</v>
      </c>
    </row>
    <row r="507" spans="1:12">
      <c r="A507" t="s">
        <v>930</v>
      </c>
      <c r="B507" t="s">
        <v>931</v>
      </c>
      <c r="C507" t="s">
        <v>110</v>
      </c>
      <c r="D507" t="s">
        <v>219</v>
      </c>
      <c r="E507" t="s">
        <v>33</v>
      </c>
      <c r="F507" t="s">
        <v>94</v>
      </c>
      <c r="G507" t="s">
        <v>34</v>
      </c>
      <c r="H507" t="s">
        <v>35</v>
      </c>
      <c r="I507">
        <v>8</v>
      </c>
      <c r="J507">
        <v>3656</v>
      </c>
      <c r="K507">
        <v>0.08</v>
      </c>
      <c r="L507" t="s">
        <v>36</v>
      </c>
    </row>
    <row r="508" spans="1:12">
      <c r="A508" t="s">
        <v>932</v>
      </c>
      <c r="B508" t="s">
        <v>471</v>
      </c>
      <c r="C508" t="s">
        <v>70</v>
      </c>
      <c r="D508" t="s">
        <v>66</v>
      </c>
      <c r="E508" t="s">
        <v>41</v>
      </c>
      <c r="F508" t="s">
        <v>48</v>
      </c>
      <c r="G508" t="s">
        <v>61</v>
      </c>
      <c r="H508" t="s">
        <v>75</v>
      </c>
      <c r="I508">
        <v>6</v>
      </c>
      <c r="J508">
        <v>27624</v>
      </c>
      <c r="K508">
        <v>0.08</v>
      </c>
      <c r="L508" t="s">
        <v>57</v>
      </c>
    </row>
    <row r="509" spans="1:12">
      <c r="A509" t="s">
        <v>933</v>
      </c>
      <c r="B509" t="s">
        <v>882</v>
      </c>
      <c r="C509" t="s">
        <v>39</v>
      </c>
      <c r="D509" t="s">
        <v>97</v>
      </c>
      <c r="E509" t="s">
        <v>25</v>
      </c>
      <c r="F509" t="s">
        <v>94</v>
      </c>
      <c r="G509" t="s">
        <v>42</v>
      </c>
      <c r="H509" t="s">
        <v>154</v>
      </c>
      <c r="I509">
        <v>3</v>
      </c>
      <c r="J509">
        <v>1545</v>
      </c>
      <c r="K509">
        <v>0.05</v>
      </c>
      <c r="L509" t="s">
        <v>36</v>
      </c>
    </row>
    <row r="510" spans="1:12">
      <c r="A510" t="s">
        <v>934</v>
      </c>
      <c r="B510" t="s">
        <v>935</v>
      </c>
      <c r="C510" t="s">
        <v>110</v>
      </c>
      <c r="D510" t="s">
        <v>111</v>
      </c>
      <c r="E510" t="s">
        <v>33</v>
      </c>
      <c r="F510" t="s">
        <v>26</v>
      </c>
      <c r="G510" t="s">
        <v>27</v>
      </c>
      <c r="H510" t="s">
        <v>28</v>
      </c>
      <c r="I510">
        <v>6</v>
      </c>
      <c r="J510">
        <v>45568</v>
      </c>
      <c r="K510">
        <v>0.02</v>
      </c>
      <c r="L510" t="s">
        <v>36</v>
      </c>
    </row>
    <row r="511" spans="1:12">
      <c r="A511" t="s">
        <v>936</v>
      </c>
      <c r="B511" t="s">
        <v>937</v>
      </c>
      <c r="C511" t="s">
        <v>74</v>
      </c>
      <c r="D511" t="s">
        <v>114</v>
      </c>
      <c r="E511" t="s">
        <v>41</v>
      </c>
      <c r="F511" t="s">
        <v>94</v>
      </c>
      <c r="G511" t="s">
        <v>27</v>
      </c>
      <c r="H511" t="s">
        <v>117</v>
      </c>
      <c r="I511">
        <v>4</v>
      </c>
      <c r="J511">
        <v>55373</v>
      </c>
      <c r="K511" t="s">
        <v>122</v>
      </c>
      <c r="L511" t="s">
        <v>36</v>
      </c>
    </row>
    <row r="512" spans="1:12">
      <c r="A512" t="s">
        <v>938</v>
      </c>
      <c r="B512" t="s">
        <v>340</v>
      </c>
      <c r="C512" t="s">
        <v>23</v>
      </c>
      <c r="D512" t="s">
        <v>200</v>
      </c>
      <c r="E512" t="s">
        <v>33</v>
      </c>
      <c r="F512" t="s">
        <v>26</v>
      </c>
      <c r="G512" t="s">
        <v>49</v>
      </c>
      <c r="H512" t="s">
        <v>83</v>
      </c>
      <c r="I512">
        <v>5</v>
      </c>
      <c r="J512">
        <v>2605</v>
      </c>
      <c r="K512">
        <v>0.15</v>
      </c>
      <c r="L512" t="s">
        <v>29</v>
      </c>
    </row>
    <row r="513" spans="1:12">
      <c r="A513" t="s">
        <v>939</v>
      </c>
      <c r="B513" t="s">
        <v>540</v>
      </c>
      <c r="C513" t="s">
        <v>46</v>
      </c>
      <c r="D513" t="s">
        <v>82</v>
      </c>
      <c r="E513" t="s">
        <v>25</v>
      </c>
      <c r="F513" t="s">
        <v>26</v>
      </c>
      <c r="G513" t="s">
        <v>61</v>
      </c>
      <c r="H513" t="s">
        <v>90</v>
      </c>
      <c r="I513">
        <v>1</v>
      </c>
      <c r="J513" t="s">
        <v>122</v>
      </c>
      <c r="K513">
        <v>0.15</v>
      </c>
      <c r="L513" t="s">
        <v>51</v>
      </c>
    </row>
    <row r="514" spans="1:12">
      <c r="A514" t="s">
        <v>940</v>
      </c>
      <c r="B514" t="s">
        <v>116</v>
      </c>
      <c r="C514" t="s">
        <v>54</v>
      </c>
      <c r="D514" t="s">
        <v>114</v>
      </c>
      <c r="E514" t="s">
        <v>41</v>
      </c>
      <c r="F514" t="s">
        <v>48</v>
      </c>
      <c r="G514" t="s">
        <v>42</v>
      </c>
      <c r="H514" t="s">
        <v>43</v>
      </c>
      <c r="I514">
        <v>7</v>
      </c>
      <c r="J514" t="s">
        <v>122</v>
      </c>
      <c r="K514">
        <v>0.08</v>
      </c>
      <c r="L514" t="s">
        <v>36</v>
      </c>
    </row>
    <row r="515" spans="1:12">
      <c r="A515" t="s">
        <v>941</v>
      </c>
      <c r="B515" t="s">
        <v>942</v>
      </c>
      <c r="C515" t="s">
        <v>54</v>
      </c>
      <c r="D515" t="s">
        <v>159</v>
      </c>
      <c r="E515" t="s">
        <v>25</v>
      </c>
      <c r="F515" t="s">
        <v>94</v>
      </c>
      <c r="G515" t="s">
        <v>27</v>
      </c>
      <c r="H515" t="s">
        <v>28</v>
      </c>
      <c r="I515">
        <v>1</v>
      </c>
      <c r="J515">
        <v>49257</v>
      </c>
      <c r="K515">
        <v>0.15</v>
      </c>
      <c r="L515" t="s">
        <v>51</v>
      </c>
    </row>
    <row r="516" spans="1:12">
      <c r="A516" t="s">
        <v>943</v>
      </c>
      <c r="B516" t="s">
        <v>359</v>
      </c>
      <c r="C516" t="s">
        <v>110</v>
      </c>
      <c r="D516" t="s">
        <v>114</v>
      </c>
      <c r="E516" t="s">
        <v>33</v>
      </c>
      <c r="F516" t="s">
        <v>94</v>
      </c>
      <c r="G516" t="s">
        <v>27</v>
      </c>
      <c r="H516" t="s">
        <v>28</v>
      </c>
      <c r="I516">
        <v>6</v>
      </c>
      <c r="J516">
        <v>60274</v>
      </c>
      <c r="K516">
        <v>0.15</v>
      </c>
      <c r="L516" t="s">
        <v>57</v>
      </c>
    </row>
    <row r="517" spans="1:12">
      <c r="A517" t="s">
        <v>944</v>
      </c>
      <c r="B517" t="s">
        <v>945</v>
      </c>
      <c r="C517" t="s">
        <v>70</v>
      </c>
      <c r="D517" t="s">
        <v>302</v>
      </c>
      <c r="E517" t="s">
        <v>41</v>
      </c>
      <c r="F517" t="s">
        <v>94</v>
      </c>
      <c r="G517" t="s">
        <v>27</v>
      </c>
      <c r="H517" t="s">
        <v>117</v>
      </c>
      <c r="I517">
        <v>7</v>
      </c>
      <c r="J517">
        <v>57333</v>
      </c>
      <c r="K517">
        <v>0.15</v>
      </c>
      <c r="L517" t="s">
        <v>57</v>
      </c>
    </row>
    <row r="518" spans="1:12">
      <c r="A518" t="s">
        <v>946</v>
      </c>
      <c r="B518" t="s">
        <v>361</v>
      </c>
      <c r="C518" t="s">
        <v>23</v>
      </c>
      <c r="D518" t="s">
        <v>105</v>
      </c>
      <c r="E518" t="s">
        <v>41</v>
      </c>
      <c r="F518" t="s">
        <v>26</v>
      </c>
      <c r="G518" t="s">
        <v>27</v>
      </c>
      <c r="H518" t="s">
        <v>117</v>
      </c>
      <c r="I518">
        <v>6</v>
      </c>
      <c r="J518">
        <v>50239</v>
      </c>
      <c r="K518">
        <v>0.1</v>
      </c>
      <c r="L518" t="s">
        <v>51</v>
      </c>
    </row>
    <row r="519" spans="1:12">
      <c r="A519" t="s">
        <v>947</v>
      </c>
      <c r="B519" t="s">
        <v>766</v>
      </c>
      <c r="C519" t="s">
        <v>70</v>
      </c>
      <c r="D519" t="s">
        <v>55</v>
      </c>
      <c r="E519" t="s">
        <v>41</v>
      </c>
      <c r="F519" t="s">
        <v>26</v>
      </c>
      <c r="G519" t="s">
        <v>42</v>
      </c>
      <c r="H519" t="s">
        <v>43</v>
      </c>
      <c r="I519">
        <v>3</v>
      </c>
      <c r="J519">
        <v>2602</v>
      </c>
      <c r="K519">
        <v>0.02</v>
      </c>
      <c r="L519" t="s">
        <v>36</v>
      </c>
    </row>
    <row r="520" spans="1:12">
      <c r="A520" t="s">
        <v>948</v>
      </c>
      <c r="B520" t="s">
        <v>949</v>
      </c>
      <c r="C520" t="s">
        <v>110</v>
      </c>
      <c r="D520" t="s">
        <v>82</v>
      </c>
      <c r="E520" t="s">
        <v>41</v>
      </c>
      <c r="F520" t="s">
        <v>48</v>
      </c>
      <c r="G520" t="s">
        <v>42</v>
      </c>
      <c r="H520" t="s">
        <v>67</v>
      </c>
      <c r="I520">
        <v>3</v>
      </c>
      <c r="J520">
        <v>2737</v>
      </c>
      <c r="K520">
        <v>0.05</v>
      </c>
      <c r="L520" t="s">
        <v>57</v>
      </c>
    </row>
    <row r="521" spans="1:12">
      <c r="A521" t="s">
        <v>950</v>
      </c>
      <c r="B521" t="s">
        <v>428</v>
      </c>
      <c r="C521" t="s">
        <v>23</v>
      </c>
      <c r="D521" t="s">
        <v>55</v>
      </c>
      <c r="E521" t="s">
        <v>41</v>
      </c>
      <c r="F521" t="s">
        <v>26</v>
      </c>
      <c r="G521" t="s">
        <v>61</v>
      </c>
      <c r="H521" t="s">
        <v>62</v>
      </c>
      <c r="I521">
        <v>0</v>
      </c>
      <c r="J521">
        <v>19092</v>
      </c>
      <c r="K521">
        <v>0.15</v>
      </c>
      <c r="L521" t="s">
        <v>57</v>
      </c>
    </row>
    <row r="522" spans="1:12">
      <c r="A522" t="s">
        <v>951</v>
      </c>
      <c r="B522" t="s">
        <v>952</v>
      </c>
      <c r="C522" t="s">
        <v>110</v>
      </c>
      <c r="D522" t="s">
        <v>55</v>
      </c>
      <c r="E522" t="s">
        <v>25</v>
      </c>
      <c r="F522" t="s">
        <v>94</v>
      </c>
      <c r="G522" t="s">
        <v>61</v>
      </c>
      <c r="H522" t="s">
        <v>62</v>
      </c>
      <c r="I522">
        <v>4</v>
      </c>
      <c r="J522">
        <v>27186</v>
      </c>
      <c r="K522">
        <v>0.02</v>
      </c>
      <c r="L522" t="s">
        <v>51</v>
      </c>
    </row>
    <row r="523" spans="1:12">
      <c r="A523" t="s">
        <v>953</v>
      </c>
      <c r="B523" t="s">
        <v>954</v>
      </c>
      <c r="C523" t="s">
        <v>89</v>
      </c>
      <c r="D523" t="s">
        <v>71</v>
      </c>
      <c r="E523" t="s">
        <v>41</v>
      </c>
      <c r="F523" t="s">
        <v>94</v>
      </c>
      <c r="G523" t="s">
        <v>34</v>
      </c>
      <c r="H523" t="s">
        <v>35</v>
      </c>
      <c r="I523">
        <v>1</v>
      </c>
      <c r="J523">
        <v>3462</v>
      </c>
      <c r="K523">
        <v>0.08</v>
      </c>
      <c r="L523" t="s">
        <v>51</v>
      </c>
    </row>
    <row r="524" spans="1:12">
      <c r="A524" t="s">
        <v>955</v>
      </c>
      <c r="B524" t="s">
        <v>720</v>
      </c>
      <c r="C524" t="s">
        <v>89</v>
      </c>
      <c r="D524" t="s">
        <v>111</v>
      </c>
      <c r="E524" t="s">
        <v>56</v>
      </c>
      <c r="F524" t="s">
        <v>26</v>
      </c>
      <c r="G524" t="s">
        <v>34</v>
      </c>
      <c r="H524" t="s">
        <v>145</v>
      </c>
      <c r="I524">
        <v>7</v>
      </c>
      <c r="J524">
        <v>5329</v>
      </c>
      <c r="K524">
        <v>0.08</v>
      </c>
      <c r="L524" t="s">
        <v>36</v>
      </c>
    </row>
    <row r="525" spans="1:12">
      <c r="A525" t="s">
        <v>956</v>
      </c>
      <c r="B525" t="s">
        <v>760</v>
      </c>
      <c r="C525" t="s">
        <v>89</v>
      </c>
      <c r="D525" t="s">
        <v>24</v>
      </c>
      <c r="E525" t="s">
        <v>33</v>
      </c>
      <c r="F525" t="s">
        <v>48</v>
      </c>
      <c r="G525" t="s">
        <v>34</v>
      </c>
      <c r="H525" t="s">
        <v>35</v>
      </c>
      <c r="I525">
        <v>5</v>
      </c>
      <c r="J525">
        <v>2820</v>
      </c>
      <c r="K525">
        <v>0.02</v>
      </c>
      <c r="L525" t="s">
        <v>57</v>
      </c>
    </row>
    <row r="526" spans="1:12">
      <c r="A526" t="s">
        <v>957</v>
      </c>
      <c r="B526" t="s">
        <v>958</v>
      </c>
      <c r="C526" t="s">
        <v>39</v>
      </c>
      <c r="D526" t="s">
        <v>152</v>
      </c>
      <c r="E526" t="s">
        <v>41</v>
      </c>
      <c r="F526" t="s">
        <v>94</v>
      </c>
      <c r="G526" t="s">
        <v>34</v>
      </c>
      <c r="H526" t="s">
        <v>145</v>
      </c>
      <c r="I526">
        <v>2</v>
      </c>
      <c r="J526">
        <v>2280</v>
      </c>
      <c r="K526">
        <v>0.02</v>
      </c>
      <c r="L526" t="s">
        <v>51</v>
      </c>
    </row>
    <row r="527" spans="1:12">
      <c r="A527" t="s">
        <v>959</v>
      </c>
      <c r="B527" t="s">
        <v>684</v>
      </c>
      <c r="C527" t="s">
        <v>89</v>
      </c>
      <c r="D527" t="s">
        <v>40</v>
      </c>
      <c r="E527" t="s">
        <v>56</v>
      </c>
      <c r="F527" t="s">
        <v>48</v>
      </c>
      <c r="G527" t="s">
        <v>27</v>
      </c>
      <c r="H527" t="s">
        <v>28</v>
      </c>
      <c r="I527">
        <v>1</v>
      </c>
      <c r="J527">
        <v>55424</v>
      </c>
      <c r="K527">
        <v>0.15</v>
      </c>
      <c r="L527" t="s">
        <v>36</v>
      </c>
    </row>
    <row r="528" spans="1:12">
      <c r="A528" t="s">
        <v>960</v>
      </c>
      <c r="B528" t="s">
        <v>525</v>
      </c>
      <c r="C528" t="s">
        <v>89</v>
      </c>
      <c r="D528" t="s">
        <v>97</v>
      </c>
      <c r="E528" t="s">
        <v>41</v>
      </c>
      <c r="F528" t="s">
        <v>48</v>
      </c>
      <c r="G528" t="s">
        <v>42</v>
      </c>
      <c r="H528" t="s">
        <v>67</v>
      </c>
      <c r="I528">
        <v>1</v>
      </c>
      <c r="J528">
        <v>1519</v>
      </c>
      <c r="K528">
        <v>0.02</v>
      </c>
      <c r="L528" t="s">
        <v>51</v>
      </c>
    </row>
    <row r="529" spans="1:12">
      <c r="A529" t="s">
        <v>961</v>
      </c>
      <c r="B529" t="s">
        <v>458</v>
      </c>
      <c r="C529" t="s">
        <v>70</v>
      </c>
      <c r="D529" t="s">
        <v>47</v>
      </c>
      <c r="E529" t="s">
        <v>41</v>
      </c>
      <c r="F529" t="s">
        <v>26</v>
      </c>
      <c r="G529" t="s">
        <v>49</v>
      </c>
      <c r="H529" t="s">
        <v>83</v>
      </c>
      <c r="I529">
        <v>5</v>
      </c>
      <c r="J529">
        <v>2476</v>
      </c>
      <c r="K529">
        <v>0.08</v>
      </c>
      <c r="L529" t="s">
        <v>51</v>
      </c>
    </row>
    <row r="530" spans="1:12">
      <c r="A530" t="s">
        <v>962</v>
      </c>
      <c r="B530" t="s">
        <v>274</v>
      </c>
      <c r="C530" t="s">
        <v>54</v>
      </c>
      <c r="D530" t="s">
        <v>127</v>
      </c>
      <c r="E530" t="s">
        <v>41</v>
      </c>
      <c r="F530" t="s">
        <v>94</v>
      </c>
      <c r="G530" t="s">
        <v>42</v>
      </c>
      <c r="H530" t="s">
        <v>67</v>
      </c>
      <c r="I530">
        <v>5</v>
      </c>
      <c r="J530">
        <v>2793</v>
      </c>
      <c r="K530">
        <v>0</v>
      </c>
      <c r="L530" t="s">
        <v>51</v>
      </c>
    </row>
    <row r="531" spans="1:12">
      <c r="A531" t="s">
        <v>963</v>
      </c>
      <c r="B531" t="s">
        <v>964</v>
      </c>
      <c r="C531" t="s">
        <v>281</v>
      </c>
      <c r="D531" t="s">
        <v>138</v>
      </c>
      <c r="E531" t="s">
        <v>25</v>
      </c>
      <c r="F531" t="s">
        <v>26</v>
      </c>
      <c r="G531" t="s">
        <v>27</v>
      </c>
      <c r="H531" t="s">
        <v>28</v>
      </c>
      <c r="I531">
        <v>7</v>
      </c>
      <c r="J531">
        <v>45734</v>
      </c>
      <c r="K531">
        <v>0.15</v>
      </c>
      <c r="L531" t="s">
        <v>57</v>
      </c>
    </row>
    <row r="532" spans="1:12">
      <c r="A532" t="s">
        <v>965</v>
      </c>
      <c r="B532" t="s">
        <v>528</v>
      </c>
      <c r="C532" t="s">
        <v>46</v>
      </c>
      <c r="D532" t="s">
        <v>138</v>
      </c>
      <c r="E532" t="s">
        <v>41</v>
      </c>
      <c r="F532" t="s">
        <v>26</v>
      </c>
      <c r="G532" t="s">
        <v>61</v>
      </c>
      <c r="H532" t="s">
        <v>75</v>
      </c>
      <c r="I532">
        <v>4</v>
      </c>
      <c r="J532">
        <v>14720</v>
      </c>
      <c r="K532" t="s">
        <v>122</v>
      </c>
      <c r="L532" t="s">
        <v>57</v>
      </c>
    </row>
    <row r="533" spans="1:12">
      <c r="A533" t="s">
        <v>966</v>
      </c>
      <c r="B533" t="s">
        <v>346</v>
      </c>
      <c r="C533" t="s">
        <v>110</v>
      </c>
      <c r="D533" t="s">
        <v>135</v>
      </c>
      <c r="E533" t="s">
        <v>25</v>
      </c>
      <c r="F533" t="s">
        <v>48</v>
      </c>
      <c r="G533" t="s">
        <v>27</v>
      </c>
      <c r="H533" t="s">
        <v>117</v>
      </c>
      <c r="I533">
        <v>1</v>
      </c>
      <c r="J533">
        <v>63404</v>
      </c>
      <c r="K533">
        <v>0.15</v>
      </c>
      <c r="L533" t="s">
        <v>51</v>
      </c>
    </row>
    <row r="534" spans="1:12">
      <c r="A534" t="s">
        <v>967</v>
      </c>
      <c r="B534" t="s">
        <v>216</v>
      </c>
      <c r="C534" t="s">
        <v>54</v>
      </c>
      <c r="D534" t="s">
        <v>93</v>
      </c>
      <c r="E534" t="s">
        <v>41</v>
      </c>
      <c r="F534" t="s">
        <v>26</v>
      </c>
      <c r="G534" t="s">
        <v>42</v>
      </c>
      <c r="H534" t="s">
        <v>43</v>
      </c>
      <c r="I534">
        <v>6</v>
      </c>
      <c r="J534">
        <v>2013</v>
      </c>
      <c r="K534">
        <v>0.08</v>
      </c>
      <c r="L534" t="s">
        <v>51</v>
      </c>
    </row>
    <row r="535" spans="1:12">
      <c r="A535" t="s">
        <v>968</v>
      </c>
      <c r="B535" t="s">
        <v>916</v>
      </c>
      <c r="C535" t="s">
        <v>39</v>
      </c>
      <c r="D535" t="s">
        <v>93</v>
      </c>
      <c r="E535" t="s">
        <v>25</v>
      </c>
      <c r="F535" t="s">
        <v>94</v>
      </c>
      <c r="G535" t="s">
        <v>42</v>
      </c>
      <c r="H535" t="s">
        <v>43</v>
      </c>
      <c r="I535">
        <v>6</v>
      </c>
      <c r="J535">
        <v>3260</v>
      </c>
      <c r="K535">
        <v>0.1</v>
      </c>
      <c r="L535" t="s">
        <v>36</v>
      </c>
    </row>
    <row r="536" spans="1:12">
      <c r="A536" t="s">
        <v>969</v>
      </c>
      <c r="B536" t="s">
        <v>970</v>
      </c>
      <c r="C536" t="s">
        <v>70</v>
      </c>
      <c r="D536" t="s">
        <v>66</v>
      </c>
      <c r="E536" t="s">
        <v>41</v>
      </c>
      <c r="F536" t="s">
        <v>48</v>
      </c>
      <c r="G536" t="s">
        <v>61</v>
      </c>
      <c r="H536" t="s">
        <v>90</v>
      </c>
      <c r="I536">
        <v>6</v>
      </c>
      <c r="J536">
        <v>25029</v>
      </c>
      <c r="K536">
        <v>0.1</v>
      </c>
      <c r="L536" t="s">
        <v>29</v>
      </c>
    </row>
    <row r="537" spans="1:12">
      <c r="A537" t="s">
        <v>971</v>
      </c>
      <c r="B537" t="s">
        <v>312</v>
      </c>
      <c r="C537" t="s">
        <v>46</v>
      </c>
      <c r="D537" t="s">
        <v>82</v>
      </c>
      <c r="E537" t="s">
        <v>33</v>
      </c>
      <c r="F537" t="s">
        <v>94</v>
      </c>
      <c r="G537" t="s">
        <v>61</v>
      </c>
      <c r="H537" t="s">
        <v>75</v>
      </c>
      <c r="I537">
        <v>2</v>
      </c>
      <c r="J537">
        <v>22307</v>
      </c>
      <c r="K537">
        <v>0.02</v>
      </c>
      <c r="L537" t="s">
        <v>51</v>
      </c>
    </row>
    <row r="538" spans="1:12">
      <c r="A538" t="s">
        <v>972</v>
      </c>
      <c r="B538" t="s">
        <v>675</v>
      </c>
      <c r="C538" t="s">
        <v>74</v>
      </c>
      <c r="D538" t="s">
        <v>55</v>
      </c>
      <c r="E538" t="s">
        <v>33</v>
      </c>
      <c r="F538" t="s">
        <v>94</v>
      </c>
      <c r="G538" t="s">
        <v>49</v>
      </c>
      <c r="H538" t="s">
        <v>50</v>
      </c>
      <c r="I538">
        <v>6</v>
      </c>
      <c r="J538">
        <v>5595</v>
      </c>
      <c r="K538">
        <v>0.05</v>
      </c>
      <c r="L538" t="s">
        <v>51</v>
      </c>
    </row>
    <row r="539" spans="1:12">
      <c r="A539" t="s">
        <v>973</v>
      </c>
      <c r="B539" t="s">
        <v>545</v>
      </c>
      <c r="C539" t="s">
        <v>46</v>
      </c>
      <c r="D539" t="s">
        <v>130</v>
      </c>
      <c r="E539" t="s">
        <v>41</v>
      </c>
      <c r="F539" t="s">
        <v>94</v>
      </c>
      <c r="G539" t="s">
        <v>49</v>
      </c>
      <c r="H539" t="s">
        <v>249</v>
      </c>
      <c r="I539">
        <v>4</v>
      </c>
      <c r="J539">
        <v>4263</v>
      </c>
      <c r="K539">
        <v>0.1</v>
      </c>
      <c r="L539" t="s">
        <v>29</v>
      </c>
    </row>
    <row r="540" spans="1:12">
      <c r="A540" t="s">
        <v>974</v>
      </c>
      <c r="B540" t="s">
        <v>975</v>
      </c>
      <c r="C540" t="s">
        <v>54</v>
      </c>
      <c r="D540" t="s">
        <v>111</v>
      </c>
      <c r="E540" t="s">
        <v>25</v>
      </c>
      <c r="F540" t="s">
        <v>94</v>
      </c>
      <c r="G540" t="s">
        <v>42</v>
      </c>
      <c r="H540" t="s">
        <v>154</v>
      </c>
      <c r="I540">
        <v>8</v>
      </c>
      <c r="J540">
        <v>2711</v>
      </c>
      <c r="K540">
        <v>0.05</v>
      </c>
      <c r="L540" t="s">
        <v>51</v>
      </c>
    </row>
    <row r="541" spans="1:12">
      <c r="A541" t="s">
        <v>976</v>
      </c>
      <c r="B541" t="s">
        <v>977</v>
      </c>
      <c r="C541" t="s">
        <v>74</v>
      </c>
      <c r="D541" t="s">
        <v>125</v>
      </c>
      <c r="E541" t="s">
        <v>56</v>
      </c>
      <c r="F541" t="s">
        <v>26</v>
      </c>
      <c r="G541" t="s">
        <v>49</v>
      </c>
      <c r="H541" t="s">
        <v>83</v>
      </c>
      <c r="I541">
        <v>3</v>
      </c>
      <c r="J541">
        <v>2640</v>
      </c>
      <c r="K541">
        <v>0.15</v>
      </c>
      <c r="L541" t="s">
        <v>57</v>
      </c>
    </row>
    <row r="542" spans="1:12">
      <c r="A542" t="s">
        <v>978</v>
      </c>
      <c r="B542" t="s">
        <v>435</v>
      </c>
      <c r="C542" t="s">
        <v>110</v>
      </c>
      <c r="D542" t="s">
        <v>97</v>
      </c>
      <c r="E542" t="s">
        <v>41</v>
      </c>
      <c r="F542" t="s">
        <v>94</v>
      </c>
      <c r="G542" t="s">
        <v>34</v>
      </c>
      <c r="H542" t="s">
        <v>98</v>
      </c>
      <c r="I542">
        <v>3</v>
      </c>
      <c r="J542">
        <v>2326</v>
      </c>
      <c r="K542">
        <v>0</v>
      </c>
      <c r="L542" t="s">
        <v>57</v>
      </c>
    </row>
    <row r="543" spans="1:12">
      <c r="A543" t="s">
        <v>979</v>
      </c>
      <c r="B543" t="s">
        <v>731</v>
      </c>
      <c r="C543" t="s">
        <v>110</v>
      </c>
      <c r="D543" t="s">
        <v>138</v>
      </c>
      <c r="E543" t="s">
        <v>25</v>
      </c>
      <c r="F543" t="s">
        <v>94</v>
      </c>
      <c r="G543" t="s">
        <v>27</v>
      </c>
      <c r="H543" t="s">
        <v>117</v>
      </c>
      <c r="I543">
        <v>1</v>
      </c>
      <c r="J543">
        <v>52389</v>
      </c>
      <c r="K543">
        <v>0.05</v>
      </c>
      <c r="L543" t="s">
        <v>51</v>
      </c>
    </row>
    <row r="544" spans="1:12">
      <c r="A544" t="s">
        <v>980</v>
      </c>
      <c r="B544" t="s">
        <v>593</v>
      </c>
      <c r="C544" t="s">
        <v>179</v>
      </c>
      <c r="D544" t="s">
        <v>32</v>
      </c>
      <c r="E544" t="s">
        <v>56</v>
      </c>
      <c r="F544" t="s">
        <v>26</v>
      </c>
      <c r="G544" t="s">
        <v>27</v>
      </c>
      <c r="H544" t="s">
        <v>141</v>
      </c>
      <c r="I544">
        <v>6</v>
      </c>
      <c r="J544">
        <v>82103</v>
      </c>
      <c r="K544">
        <v>0.02</v>
      </c>
      <c r="L544" t="s">
        <v>51</v>
      </c>
    </row>
    <row r="545" spans="1:12">
      <c r="A545" t="s">
        <v>981</v>
      </c>
      <c r="B545" t="s">
        <v>788</v>
      </c>
      <c r="C545" t="s">
        <v>23</v>
      </c>
      <c r="D545" t="s">
        <v>93</v>
      </c>
      <c r="E545" t="s">
        <v>194</v>
      </c>
      <c r="F545" t="s">
        <v>94</v>
      </c>
      <c r="G545" t="s">
        <v>42</v>
      </c>
      <c r="H545" t="s">
        <v>154</v>
      </c>
      <c r="I545">
        <v>7</v>
      </c>
      <c r="J545">
        <v>2736</v>
      </c>
      <c r="K545">
        <v>0.1</v>
      </c>
      <c r="L545" t="s">
        <v>51</v>
      </c>
    </row>
    <row r="546" spans="1:12">
      <c r="A546" t="s">
        <v>982</v>
      </c>
      <c r="B546" t="s">
        <v>587</v>
      </c>
      <c r="C546" t="s">
        <v>23</v>
      </c>
      <c r="D546" t="s">
        <v>105</v>
      </c>
      <c r="E546" t="s">
        <v>41</v>
      </c>
      <c r="F546" t="s">
        <v>26</v>
      </c>
      <c r="G546" t="s">
        <v>49</v>
      </c>
      <c r="H546" t="s">
        <v>83</v>
      </c>
      <c r="I546">
        <v>2</v>
      </c>
      <c r="J546">
        <v>4261</v>
      </c>
      <c r="K546">
        <v>0.15</v>
      </c>
      <c r="L546" t="s">
        <v>29</v>
      </c>
    </row>
    <row r="547" spans="1:12">
      <c r="A547" t="s">
        <v>983</v>
      </c>
      <c r="B547" t="s">
        <v>984</v>
      </c>
      <c r="C547" t="s">
        <v>54</v>
      </c>
      <c r="D547" t="s">
        <v>86</v>
      </c>
      <c r="E547" t="s">
        <v>33</v>
      </c>
      <c r="F547" t="s">
        <v>26</v>
      </c>
      <c r="G547" t="s">
        <v>42</v>
      </c>
      <c r="H547" t="s">
        <v>43</v>
      </c>
      <c r="I547">
        <v>5</v>
      </c>
      <c r="J547">
        <v>3211</v>
      </c>
      <c r="K547">
        <v>0.02</v>
      </c>
      <c r="L547" t="s">
        <v>36</v>
      </c>
    </row>
    <row r="548" spans="1:12">
      <c r="A548" t="s">
        <v>985</v>
      </c>
      <c r="B548" t="s">
        <v>986</v>
      </c>
      <c r="C548" t="s">
        <v>179</v>
      </c>
      <c r="D548" t="s">
        <v>86</v>
      </c>
      <c r="E548" t="s">
        <v>41</v>
      </c>
      <c r="F548" t="s">
        <v>94</v>
      </c>
      <c r="G548" t="s">
        <v>42</v>
      </c>
      <c r="H548" t="s">
        <v>43</v>
      </c>
      <c r="I548">
        <v>2</v>
      </c>
      <c r="J548">
        <v>1299</v>
      </c>
      <c r="K548">
        <v>0.05</v>
      </c>
      <c r="L548" t="s">
        <v>51</v>
      </c>
    </row>
    <row r="549" spans="1:12">
      <c r="A549" t="s">
        <v>987</v>
      </c>
      <c r="B549" t="s">
        <v>332</v>
      </c>
      <c r="C549" t="s">
        <v>46</v>
      </c>
      <c r="D549" t="s">
        <v>302</v>
      </c>
      <c r="E549" t="s">
        <v>33</v>
      </c>
      <c r="F549" t="s">
        <v>243</v>
      </c>
      <c r="G549" t="s">
        <v>42</v>
      </c>
      <c r="H549" t="s">
        <v>43</v>
      </c>
      <c r="I549">
        <v>1</v>
      </c>
      <c r="J549">
        <v>2180</v>
      </c>
      <c r="K549">
        <v>0</v>
      </c>
      <c r="L549" t="s">
        <v>51</v>
      </c>
    </row>
    <row r="550" spans="1:12">
      <c r="A550" t="s">
        <v>988</v>
      </c>
      <c r="B550" t="s">
        <v>289</v>
      </c>
      <c r="C550" t="s">
        <v>70</v>
      </c>
      <c r="D550" t="s">
        <v>159</v>
      </c>
      <c r="E550" t="s">
        <v>25</v>
      </c>
      <c r="F550" t="s">
        <v>26</v>
      </c>
      <c r="G550" t="s">
        <v>34</v>
      </c>
      <c r="H550" t="s">
        <v>145</v>
      </c>
      <c r="I550">
        <v>6</v>
      </c>
      <c r="J550">
        <v>1388</v>
      </c>
      <c r="K550">
        <v>0.02</v>
      </c>
      <c r="L550" t="s">
        <v>51</v>
      </c>
    </row>
    <row r="551" spans="1:12">
      <c r="A551" t="s">
        <v>989</v>
      </c>
      <c r="B551" t="s">
        <v>423</v>
      </c>
      <c r="C551" t="s">
        <v>23</v>
      </c>
      <c r="D551" t="s">
        <v>135</v>
      </c>
      <c r="E551" t="s">
        <v>25</v>
      </c>
      <c r="F551" t="s">
        <v>94</v>
      </c>
      <c r="G551" t="s">
        <v>61</v>
      </c>
      <c r="H551" t="s">
        <v>62</v>
      </c>
      <c r="I551">
        <v>7</v>
      </c>
      <c r="J551">
        <v>16824</v>
      </c>
      <c r="K551">
        <v>0.08</v>
      </c>
      <c r="L551" t="s">
        <v>51</v>
      </c>
    </row>
    <row r="552" spans="1:12">
      <c r="A552" t="s">
        <v>990</v>
      </c>
      <c r="B552" t="s">
        <v>991</v>
      </c>
      <c r="C552" t="s">
        <v>39</v>
      </c>
      <c r="D552" t="s">
        <v>105</v>
      </c>
      <c r="E552" t="s">
        <v>41</v>
      </c>
      <c r="F552" t="s">
        <v>94</v>
      </c>
      <c r="G552" t="s">
        <v>42</v>
      </c>
      <c r="H552" t="s">
        <v>154</v>
      </c>
      <c r="I552">
        <v>2</v>
      </c>
      <c r="J552">
        <v>1291</v>
      </c>
      <c r="K552">
        <v>0.1</v>
      </c>
      <c r="L552" t="s">
        <v>36</v>
      </c>
    </row>
    <row r="553" spans="1:12">
      <c r="A553" t="s">
        <v>992</v>
      </c>
      <c r="B553" t="s">
        <v>993</v>
      </c>
      <c r="C553" t="s">
        <v>70</v>
      </c>
      <c r="D553" t="s">
        <v>144</v>
      </c>
      <c r="E553" t="s">
        <v>25</v>
      </c>
      <c r="F553" t="s">
        <v>94</v>
      </c>
      <c r="G553" t="s">
        <v>42</v>
      </c>
      <c r="H553" t="s">
        <v>154</v>
      </c>
      <c r="I553">
        <v>1</v>
      </c>
      <c r="J553">
        <v>2172</v>
      </c>
      <c r="K553">
        <v>0.08</v>
      </c>
      <c r="L553" t="s">
        <v>29</v>
      </c>
    </row>
    <row r="554" spans="1:12">
      <c r="A554" t="s">
        <v>994</v>
      </c>
      <c r="B554" t="s">
        <v>995</v>
      </c>
      <c r="C554" t="s">
        <v>70</v>
      </c>
      <c r="D554" t="s">
        <v>285</v>
      </c>
      <c r="E554" t="s">
        <v>25</v>
      </c>
      <c r="F554" t="s">
        <v>48</v>
      </c>
      <c r="G554" t="s">
        <v>61</v>
      </c>
      <c r="H554" t="s">
        <v>75</v>
      </c>
      <c r="I554">
        <v>5</v>
      </c>
      <c r="J554">
        <v>27114</v>
      </c>
      <c r="K554">
        <v>0.08</v>
      </c>
      <c r="L554" t="s">
        <v>51</v>
      </c>
    </row>
    <row r="555" spans="1:12">
      <c r="A555" t="s">
        <v>996</v>
      </c>
      <c r="B555" t="s">
        <v>122</v>
      </c>
      <c r="C555" t="s">
        <v>39</v>
      </c>
      <c r="D555" t="s">
        <v>97</v>
      </c>
      <c r="E555" t="s">
        <v>33</v>
      </c>
      <c r="F555" t="s">
        <v>26</v>
      </c>
      <c r="G555" t="s">
        <v>49</v>
      </c>
      <c r="H555" t="s">
        <v>83</v>
      </c>
      <c r="I555">
        <v>2</v>
      </c>
      <c r="J555">
        <v>6436</v>
      </c>
      <c r="K555">
        <v>0</v>
      </c>
      <c r="L555" t="s">
        <v>51</v>
      </c>
    </row>
    <row r="556" spans="1:12">
      <c r="A556" t="s">
        <v>997</v>
      </c>
      <c r="B556" t="s">
        <v>874</v>
      </c>
      <c r="C556" t="s">
        <v>74</v>
      </c>
      <c r="D556" t="s">
        <v>60</v>
      </c>
      <c r="E556" t="s">
        <v>25</v>
      </c>
      <c r="F556" t="s">
        <v>26</v>
      </c>
      <c r="G556" t="s">
        <v>42</v>
      </c>
      <c r="H556" t="s">
        <v>67</v>
      </c>
      <c r="I556">
        <v>6</v>
      </c>
      <c r="J556">
        <v>1241</v>
      </c>
      <c r="K556">
        <v>0.1</v>
      </c>
      <c r="L556" t="s">
        <v>51</v>
      </c>
    </row>
    <row r="557" spans="1:12">
      <c r="A557" t="s">
        <v>998</v>
      </c>
      <c r="B557" t="s">
        <v>559</v>
      </c>
      <c r="C557" t="s">
        <v>39</v>
      </c>
      <c r="D557" t="s">
        <v>71</v>
      </c>
      <c r="E557" t="s">
        <v>33</v>
      </c>
      <c r="F557" t="s">
        <v>94</v>
      </c>
      <c r="G557" t="s">
        <v>42</v>
      </c>
      <c r="H557" t="s">
        <v>154</v>
      </c>
      <c r="I557">
        <v>7</v>
      </c>
      <c r="J557">
        <v>1729</v>
      </c>
      <c r="K557">
        <v>0.02</v>
      </c>
      <c r="L557" t="s">
        <v>57</v>
      </c>
    </row>
    <row r="558" spans="1:12">
      <c r="A558" t="s">
        <v>999</v>
      </c>
      <c r="B558" t="s">
        <v>496</v>
      </c>
      <c r="C558" t="s">
        <v>74</v>
      </c>
      <c r="D558" t="s">
        <v>285</v>
      </c>
      <c r="E558" t="s">
        <v>25</v>
      </c>
      <c r="F558" t="s">
        <v>94</v>
      </c>
      <c r="G558" t="s">
        <v>61</v>
      </c>
      <c r="H558" t="s">
        <v>62</v>
      </c>
      <c r="I558">
        <v>4</v>
      </c>
      <c r="J558">
        <v>21987</v>
      </c>
      <c r="K558">
        <v>0.08</v>
      </c>
      <c r="L558" t="s">
        <v>51</v>
      </c>
    </row>
    <row r="559" spans="1:12">
      <c r="A559" t="s">
        <v>1000</v>
      </c>
      <c r="B559" t="s">
        <v>498</v>
      </c>
      <c r="C559" t="s">
        <v>78</v>
      </c>
      <c r="D559" t="s">
        <v>79</v>
      </c>
      <c r="E559" t="s">
        <v>33</v>
      </c>
      <c r="F559" t="s">
        <v>94</v>
      </c>
      <c r="G559" t="s">
        <v>42</v>
      </c>
      <c r="H559" t="s">
        <v>67</v>
      </c>
      <c r="I559">
        <v>2</v>
      </c>
      <c r="J559">
        <v>865</v>
      </c>
      <c r="K559">
        <v>0.05</v>
      </c>
      <c r="L559" t="s">
        <v>51</v>
      </c>
    </row>
    <row r="560" spans="1:12">
      <c r="A560" t="s">
        <v>1001</v>
      </c>
      <c r="B560" t="s">
        <v>211</v>
      </c>
      <c r="C560" t="s">
        <v>74</v>
      </c>
      <c r="D560" t="s">
        <v>135</v>
      </c>
      <c r="E560" t="s">
        <v>25</v>
      </c>
      <c r="F560" t="s">
        <v>48</v>
      </c>
      <c r="G560" t="s">
        <v>27</v>
      </c>
      <c r="H560" t="s">
        <v>117</v>
      </c>
      <c r="I560">
        <v>-1</v>
      </c>
      <c r="J560">
        <v>73730</v>
      </c>
      <c r="K560">
        <v>0.02</v>
      </c>
      <c r="L560" t="s">
        <v>29</v>
      </c>
    </row>
    <row r="561" spans="1:12">
      <c r="A561" t="s">
        <v>1002</v>
      </c>
      <c r="B561" t="s">
        <v>1003</v>
      </c>
      <c r="C561" t="s">
        <v>110</v>
      </c>
      <c r="D561" t="s">
        <v>86</v>
      </c>
      <c r="E561" t="s">
        <v>33</v>
      </c>
      <c r="F561" t="s">
        <v>48</v>
      </c>
      <c r="G561" t="s">
        <v>61</v>
      </c>
      <c r="H561" t="s">
        <v>62</v>
      </c>
      <c r="I561">
        <v>5</v>
      </c>
      <c r="J561">
        <v>9018</v>
      </c>
      <c r="K561">
        <v>0.15</v>
      </c>
      <c r="L561" t="s">
        <v>29</v>
      </c>
    </row>
    <row r="562" spans="1:12">
      <c r="A562" t="s">
        <v>1004</v>
      </c>
      <c r="B562" t="s">
        <v>503</v>
      </c>
      <c r="C562" t="s">
        <v>46</v>
      </c>
      <c r="D562" t="s">
        <v>159</v>
      </c>
      <c r="E562" t="s">
        <v>41</v>
      </c>
      <c r="F562" t="s">
        <v>94</v>
      </c>
      <c r="G562" t="s">
        <v>34</v>
      </c>
      <c r="H562" t="s">
        <v>145</v>
      </c>
      <c r="I562">
        <v>4</v>
      </c>
      <c r="J562">
        <v>5460</v>
      </c>
      <c r="K562">
        <v>0.02</v>
      </c>
      <c r="L562" t="s">
        <v>51</v>
      </c>
    </row>
    <row r="563" spans="1:12">
      <c r="A563" t="s">
        <v>1005</v>
      </c>
      <c r="B563" t="s">
        <v>251</v>
      </c>
      <c r="C563" t="s">
        <v>74</v>
      </c>
      <c r="D563" t="s">
        <v>219</v>
      </c>
      <c r="E563" t="s">
        <v>41</v>
      </c>
      <c r="F563" t="s">
        <v>48</v>
      </c>
      <c r="G563" t="s">
        <v>61</v>
      </c>
      <c r="H563" t="s">
        <v>75</v>
      </c>
      <c r="I563">
        <v>5</v>
      </c>
      <c r="J563">
        <v>22102</v>
      </c>
      <c r="K563">
        <v>0</v>
      </c>
      <c r="L563" t="s">
        <v>51</v>
      </c>
    </row>
    <row r="564" spans="1:12">
      <c r="A564" t="s">
        <v>1006</v>
      </c>
      <c r="B564" t="s">
        <v>340</v>
      </c>
      <c r="C564" t="s">
        <v>70</v>
      </c>
      <c r="D564" t="s">
        <v>66</v>
      </c>
      <c r="E564" t="s">
        <v>25</v>
      </c>
      <c r="F564" t="s">
        <v>48</v>
      </c>
      <c r="G564" t="s">
        <v>42</v>
      </c>
      <c r="H564" t="s">
        <v>154</v>
      </c>
      <c r="I564">
        <v>3</v>
      </c>
      <c r="J564">
        <v>1873</v>
      </c>
      <c r="K564" t="s">
        <v>122</v>
      </c>
      <c r="L564" t="s">
        <v>51</v>
      </c>
    </row>
    <row r="565" spans="1:12">
      <c r="A565" t="s">
        <v>1007</v>
      </c>
      <c r="B565" t="s">
        <v>1008</v>
      </c>
      <c r="C565" t="s">
        <v>23</v>
      </c>
      <c r="D565" t="s">
        <v>24</v>
      </c>
      <c r="E565" t="s">
        <v>25</v>
      </c>
      <c r="F565" t="s">
        <v>94</v>
      </c>
      <c r="G565" t="s">
        <v>27</v>
      </c>
      <c r="H565" t="s">
        <v>28</v>
      </c>
      <c r="I565">
        <v>5</v>
      </c>
      <c r="J565">
        <v>69036</v>
      </c>
      <c r="K565">
        <v>0.05</v>
      </c>
      <c r="L565" t="s">
        <v>51</v>
      </c>
    </row>
    <row r="566" spans="1:12">
      <c r="A566" t="s">
        <v>1009</v>
      </c>
      <c r="B566" t="s">
        <v>1010</v>
      </c>
      <c r="C566" t="s">
        <v>74</v>
      </c>
      <c r="D566" t="s">
        <v>130</v>
      </c>
      <c r="E566" t="s">
        <v>41</v>
      </c>
      <c r="F566" t="s">
        <v>94</v>
      </c>
      <c r="G566" t="s">
        <v>34</v>
      </c>
      <c r="H566" t="s">
        <v>35</v>
      </c>
      <c r="I566">
        <v>6</v>
      </c>
      <c r="J566">
        <v>3524</v>
      </c>
      <c r="K566">
        <v>0.15</v>
      </c>
      <c r="L566" t="s">
        <v>51</v>
      </c>
    </row>
    <row r="567" spans="1:12">
      <c r="A567" t="s">
        <v>1011</v>
      </c>
      <c r="B567" t="s">
        <v>132</v>
      </c>
      <c r="C567" t="s">
        <v>110</v>
      </c>
      <c r="D567" t="s">
        <v>350</v>
      </c>
      <c r="E567" t="s">
        <v>25</v>
      </c>
      <c r="F567" t="s">
        <v>26</v>
      </c>
      <c r="G567" t="s">
        <v>49</v>
      </c>
      <c r="H567" t="s">
        <v>249</v>
      </c>
      <c r="I567">
        <v>2</v>
      </c>
      <c r="J567">
        <v>7420</v>
      </c>
      <c r="K567">
        <v>0.05</v>
      </c>
      <c r="L567" t="s">
        <v>51</v>
      </c>
    </row>
    <row r="568" spans="1:12">
      <c r="A568" t="s">
        <v>1012</v>
      </c>
      <c r="B568" t="s">
        <v>1013</v>
      </c>
      <c r="C568" t="s">
        <v>70</v>
      </c>
      <c r="D568" t="s">
        <v>285</v>
      </c>
      <c r="E568" t="s">
        <v>33</v>
      </c>
      <c r="F568" t="s">
        <v>243</v>
      </c>
      <c r="G568" t="s">
        <v>34</v>
      </c>
      <c r="H568" t="s">
        <v>98</v>
      </c>
      <c r="I568">
        <v>3</v>
      </c>
      <c r="J568">
        <v>4456</v>
      </c>
      <c r="K568">
        <v>0.05</v>
      </c>
      <c r="L568" t="s">
        <v>36</v>
      </c>
    </row>
    <row r="569" spans="1:12">
      <c r="A569" t="s">
        <v>1014</v>
      </c>
      <c r="B569" t="s">
        <v>1015</v>
      </c>
      <c r="C569" t="s">
        <v>54</v>
      </c>
      <c r="D569" t="s">
        <v>125</v>
      </c>
      <c r="E569" t="s">
        <v>33</v>
      </c>
      <c r="F569" t="s">
        <v>48</v>
      </c>
      <c r="G569" t="s">
        <v>42</v>
      </c>
      <c r="H569" t="s">
        <v>43</v>
      </c>
      <c r="I569">
        <v>6</v>
      </c>
      <c r="J569">
        <v>737</v>
      </c>
      <c r="K569">
        <v>0.15</v>
      </c>
      <c r="L569" t="s">
        <v>51</v>
      </c>
    </row>
    <row r="570" spans="1:12">
      <c r="A570" t="s">
        <v>1016</v>
      </c>
      <c r="B570" t="s">
        <v>1017</v>
      </c>
      <c r="C570" t="s">
        <v>23</v>
      </c>
      <c r="D570" t="s">
        <v>86</v>
      </c>
      <c r="E570" t="s">
        <v>41</v>
      </c>
      <c r="F570" t="s">
        <v>26</v>
      </c>
      <c r="G570" t="s">
        <v>27</v>
      </c>
      <c r="H570" t="s">
        <v>141</v>
      </c>
      <c r="I570">
        <v>1</v>
      </c>
      <c r="J570">
        <v>80310</v>
      </c>
      <c r="K570">
        <v>0.08</v>
      </c>
      <c r="L570" t="s">
        <v>57</v>
      </c>
    </row>
    <row r="571" spans="1:12">
      <c r="A571" t="s">
        <v>1018</v>
      </c>
      <c r="B571" t="s">
        <v>1019</v>
      </c>
      <c r="C571" t="s">
        <v>89</v>
      </c>
      <c r="D571" t="s">
        <v>82</v>
      </c>
      <c r="E571" t="s">
        <v>41</v>
      </c>
      <c r="F571" t="s">
        <v>26</v>
      </c>
      <c r="G571" t="s">
        <v>34</v>
      </c>
      <c r="H571" t="s">
        <v>98</v>
      </c>
      <c r="I571">
        <v>8</v>
      </c>
      <c r="J571">
        <v>3077</v>
      </c>
      <c r="K571">
        <v>0.02</v>
      </c>
      <c r="L571" t="s">
        <v>29</v>
      </c>
    </row>
    <row r="572" spans="1:12">
      <c r="A572" t="s">
        <v>1020</v>
      </c>
      <c r="B572" t="s">
        <v>869</v>
      </c>
      <c r="C572" t="s">
        <v>89</v>
      </c>
      <c r="D572" t="s">
        <v>79</v>
      </c>
      <c r="E572" t="s">
        <v>33</v>
      </c>
      <c r="F572" t="s">
        <v>214</v>
      </c>
      <c r="G572" t="s">
        <v>61</v>
      </c>
      <c r="H572" t="s">
        <v>90</v>
      </c>
      <c r="I572">
        <v>6</v>
      </c>
      <c r="J572">
        <v>16695</v>
      </c>
      <c r="K572">
        <v>0.02</v>
      </c>
      <c r="L572" t="s">
        <v>57</v>
      </c>
    </row>
    <row r="573" spans="1:12">
      <c r="A573" t="s">
        <v>1021</v>
      </c>
      <c r="B573" t="s">
        <v>1022</v>
      </c>
      <c r="C573" t="s">
        <v>46</v>
      </c>
      <c r="D573" t="s">
        <v>135</v>
      </c>
      <c r="E573" t="s">
        <v>41</v>
      </c>
      <c r="F573" t="s">
        <v>26</v>
      </c>
      <c r="G573" t="s">
        <v>61</v>
      </c>
      <c r="H573" t="s">
        <v>62</v>
      </c>
      <c r="I573">
        <v>2</v>
      </c>
      <c r="J573">
        <v>19141</v>
      </c>
      <c r="K573">
        <v>0</v>
      </c>
      <c r="L573" t="s">
        <v>51</v>
      </c>
    </row>
    <row r="574" spans="1:12">
      <c r="A574" t="s">
        <v>1023</v>
      </c>
      <c r="B574" t="s">
        <v>372</v>
      </c>
      <c r="C574" t="s">
        <v>110</v>
      </c>
      <c r="D574" t="s">
        <v>24</v>
      </c>
      <c r="E574" t="s">
        <v>33</v>
      </c>
      <c r="F574" t="s">
        <v>94</v>
      </c>
      <c r="G574" t="s">
        <v>61</v>
      </c>
      <c r="H574" t="s">
        <v>90</v>
      </c>
      <c r="I574">
        <v>6</v>
      </c>
      <c r="J574">
        <v>11831</v>
      </c>
      <c r="K574">
        <v>0.02</v>
      </c>
      <c r="L574" t="s">
        <v>57</v>
      </c>
    </row>
    <row r="575" spans="1:12">
      <c r="A575" t="s">
        <v>1024</v>
      </c>
      <c r="B575" t="s">
        <v>1025</v>
      </c>
      <c r="C575" t="s">
        <v>467</v>
      </c>
      <c r="D575" t="s">
        <v>66</v>
      </c>
      <c r="E575" t="s">
        <v>33</v>
      </c>
      <c r="F575" t="s">
        <v>26</v>
      </c>
      <c r="G575" t="s">
        <v>27</v>
      </c>
      <c r="H575" t="s">
        <v>117</v>
      </c>
      <c r="I575">
        <v>6</v>
      </c>
      <c r="J575">
        <v>77399</v>
      </c>
      <c r="K575">
        <v>0.02</v>
      </c>
      <c r="L575" t="s">
        <v>51</v>
      </c>
    </row>
    <row r="576" spans="1:12">
      <c r="A576" t="s">
        <v>1026</v>
      </c>
      <c r="B576" t="s">
        <v>1027</v>
      </c>
      <c r="C576" t="s">
        <v>89</v>
      </c>
      <c r="D576" t="s">
        <v>159</v>
      </c>
      <c r="E576" t="s">
        <v>25</v>
      </c>
      <c r="F576" t="s">
        <v>94</v>
      </c>
      <c r="G576" t="s">
        <v>42</v>
      </c>
      <c r="H576" t="s">
        <v>43</v>
      </c>
      <c r="I576">
        <v>7</v>
      </c>
      <c r="J576">
        <v>1707</v>
      </c>
      <c r="K576">
        <v>0.05</v>
      </c>
      <c r="L576" t="s">
        <v>51</v>
      </c>
    </row>
    <row r="577" spans="1:12">
      <c r="A577" t="s">
        <v>1028</v>
      </c>
      <c r="B577" t="s">
        <v>597</v>
      </c>
      <c r="C577" t="s">
        <v>46</v>
      </c>
      <c r="D577" t="s">
        <v>200</v>
      </c>
      <c r="E577" t="s">
        <v>25</v>
      </c>
      <c r="F577" t="s">
        <v>48</v>
      </c>
      <c r="G577" t="s">
        <v>27</v>
      </c>
      <c r="H577" t="s">
        <v>141</v>
      </c>
      <c r="I577">
        <v>2</v>
      </c>
      <c r="J577">
        <v>57109</v>
      </c>
      <c r="K577">
        <v>0.05</v>
      </c>
      <c r="L577" t="s">
        <v>51</v>
      </c>
    </row>
    <row r="578" spans="1:12">
      <c r="A578" t="s">
        <v>1029</v>
      </c>
      <c r="B578" t="s">
        <v>405</v>
      </c>
      <c r="C578" t="s">
        <v>46</v>
      </c>
      <c r="D578" t="s">
        <v>24</v>
      </c>
      <c r="E578" t="s">
        <v>25</v>
      </c>
      <c r="F578" t="s">
        <v>184</v>
      </c>
      <c r="G578" t="s">
        <v>49</v>
      </c>
      <c r="H578" t="s">
        <v>50</v>
      </c>
      <c r="I578">
        <v>5</v>
      </c>
      <c r="J578">
        <v>1833</v>
      </c>
      <c r="K578">
        <v>0.08</v>
      </c>
      <c r="L578" t="s">
        <v>51</v>
      </c>
    </row>
    <row r="579" spans="1:12">
      <c r="A579" t="s">
        <v>1030</v>
      </c>
      <c r="B579" t="s">
        <v>1031</v>
      </c>
      <c r="C579" t="s">
        <v>39</v>
      </c>
      <c r="D579" t="s">
        <v>350</v>
      </c>
      <c r="E579" t="s">
        <v>33</v>
      </c>
      <c r="F579" t="s">
        <v>214</v>
      </c>
      <c r="G579" t="s">
        <v>27</v>
      </c>
      <c r="H579" t="s">
        <v>141</v>
      </c>
      <c r="I579">
        <v>8</v>
      </c>
      <c r="J579">
        <v>57132</v>
      </c>
      <c r="K579">
        <v>0.02</v>
      </c>
      <c r="L579" t="s">
        <v>36</v>
      </c>
    </row>
    <row r="580" spans="1:12">
      <c r="A580" t="s">
        <v>1032</v>
      </c>
      <c r="B580" t="s">
        <v>887</v>
      </c>
      <c r="C580" t="s">
        <v>23</v>
      </c>
      <c r="D580" t="s">
        <v>79</v>
      </c>
      <c r="E580" t="s">
        <v>33</v>
      </c>
      <c r="F580" t="s">
        <v>48</v>
      </c>
      <c r="G580" t="s">
        <v>61</v>
      </c>
      <c r="H580" t="s">
        <v>90</v>
      </c>
      <c r="I580">
        <v>5</v>
      </c>
      <c r="J580">
        <v>13463</v>
      </c>
      <c r="K580">
        <v>0.05</v>
      </c>
      <c r="L580" t="s">
        <v>51</v>
      </c>
    </row>
    <row r="581" spans="1:12">
      <c r="A581" t="s">
        <v>1033</v>
      </c>
      <c r="B581" t="s">
        <v>607</v>
      </c>
      <c r="C581" t="s">
        <v>110</v>
      </c>
      <c r="D581" t="s">
        <v>127</v>
      </c>
      <c r="E581" t="s">
        <v>25</v>
      </c>
      <c r="F581" t="s">
        <v>94</v>
      </c>
      <c r="G581" t="s">
        <v>27</v>
      </c>
      <c r="H581" t="s">
        <v>28</v>
      </c>
      <c r="I581">
        <v>5</v>
      </c>
      <c r="J581">
        <v>48051</v>
      </c>
      <c r="K581">
        <v>0</v>
      </c>
      <c r="L581" t="s">
        <v>57</v>
      </c>
    </row>
    <row r="582" spans="1:12">
      <c r="A582" t="s">
        <v>1034</v>
      </c>
      <c r="B582" t="s">
        <v>837</v>
      </c>
      <c r="C582" t="s">
        <v>1035</v>
      </c>
      <c r="D582" t="s">
        <v>125</v>
      </c>
      <c r="E582" t="s">
        <v>41</v>
      </c>
      <c r="F582" t="s">
        <v>48</v>
      </c>
      <c r="G582" t="s">
        <v>42</v>
      </c>
      <c r="H582" t="s">
        <v>154</v>
      </c>
      <c r="I582">
        <v>4</v>
      </c>
      <c r="J582">
        <v>2146</v>
      </c>
      <c r="K582">
        <v>0.08</v>
      </c>
      <c r="L582" t="s">
        <v>29</v>
      </c>
    </row>
    <row r="583" spans="1:12">
      <c r="A583" t="s">
        <v>1036</v>
      </c>
      <c r="B583" t="s">
        <v>31</v>
      </c>
      <c r="C583" t="s">
        <v>74</v>
      </c>
      <c r="D583" t="s">
        <v>40</v>
      </c>
      <c r="E583" t="s">
        <v>25</v>
      </c>
      <c r="F583" t="s">
        <v>26</v>
      </c>
      <c r="G583" t="s">
        <v>49</v>
      </c>
      <c r="H583" t="s">
        <v>249</v>
      </c>
      <c r="I583">
        <v>5</v>
      </c>
      <c r="J583">
        <v>3145</v>
      </c>
      <c r="K583">
        <v>0.08</v>
      </c>
      <c r="L583" t="s">
        <v>29</v>
      </c>
    </row>
    <row r="584" spans="1:12">
      <c r="A584" t="s">
        <v>1037</v>
      </c>
      <c r="B584" t="s">
        <v>122</v>
      </c>
      <c r="C584" t="s">
        <v>39</v>
      </c>
      <c r="D584" t="s">
        <v>24</v>
      </c>
      <c r="E584" t="s">
        <v>25</v>
      </c>
      <c r="F584" t="s">
        <v>48</v>
      </c>
      <c r="G584" t="s">
        <v>34</v>
      </c>
      <c r="H584" t="s">
        <v>145</v>
      </c>
      <c r="I584">
        <v>4</v>
      </c>
      <c r="J584">
        <v>1715</v>
      </c>
      <c r="K584">
        <v>0.05</v>
      </c>
      <c r="L584" t="s">
        <v>51</v>
      </c>
    </row>
    <row r="585" spans="1:12">
      <c r="A585" t="s">
        <v>1038</v>
      </c>
      <c r="B585" t="s">
        <v>845</v>
      </c>
      <c r="C585" t="s">
        <v>65</v>
      </c>
      <c r="D585" t="s">
        <v>127</v>
      </c>
      <c r="E585" t="s">
        <v>41</v>
      </c>
      <c r="F585" t="s">
        <v>26</v>
      </c>
      <c r="G585" t="s">
        <v>34</v>
      </c>
      <c r="H585" t="s">
        <v>145</v>
      </c>
      <c r="I585">
        <v>8</v>
      </c>
      <c r="J585">
        <v>4123</v>
      </c>
      <c r="K585">
        <v>0.1</v>
      </c>
      <c r="L585" t="s">
        <v>51</v>
      </c>
    </row>
    <row r="586" spans="1:12">
      <c r="A586" t="s">
        <v>1039</v>
      </c>
      <c r="B586" t="s">
        <v>109</v>
      </c>
      <c r="C586" t="s">
        <v>379</v>
      </c>
      <c r="D586" t="s">
        <v>135</v>
      </c>
      <c r="E586" t="s">
        <v>25</v>
      </c>
      <c r="F586" t="s">
        <v>26</v>
      </c>
      <c r="G586" t="s">
        <v>42</v>
      </c>
      <c r="H586" t="s">
        <v>43</v>
      </c>
      <c r="I586">
        <v>4</v>
      </c>
      <c r="J586">
        <v>1255</v>
      </c>
      <c r="K586">
        <v>0.02</v>
      </c>
      <c r="L586" t="s">
        <v>51</v>
      </c>
    </row>
    <row r="587" spans="1:12">
      <c r="A587" t="s">
        <v>1040</v>
      </c>
      <c r="B587" t="s">
        <v>1025</v>
      </c>
      <c r="C587" t="s">
        <v>54</v>
      </c>
      <c r="D587" t="s">
        <v>55</v>
      </c>
      <c r="E587" t="s">
        <v>25</v>
      </c>
      <c r="F587" t="s">
        <v>214</v>
      </c>
      <c r="G587" t="s">
        <v>61</v>
      </c>
      <c r="H587" t="s">
        <v>75</v>
      </c>
      <c r="I587">
        <v>1</v>
      </c>
      <c r="J587">
        <v>26729</v>
      </c>
      <c r="K587">
        <v>0.08</v>
      </c>
      <c r="L587" t="s">
        <v>51</v>
      </c>
    </row>
    <row r="588" spans="1:12">
      <c r="A588" t="s">
        <v>1041</v>
      </c>
      <c r="B588" t="s">
        <v>374</v>
      </c>
      <c r="C588" t="s">
        <v>89</v>
      </c>
      <c r="D588" t="s">
        <v>285</v>
      </c>
      <c r="E588" t="s">
        <v>153</v>
      </c>
      <c r="F588" t="s">
        <v>26</v>
      </c>
      <c r="G588" t="s">
        <v>34</v>
      </c>
      <c r="H588" t="s">
        <v>35</v>
      </c>
      <c r="I588">
        <v>4</v>
      </c>
      <c r="J588">
        <v>1570</v>
      </c>
      <c r="K588">
        <v>0.02</v>
      </c>
      <c r="L588" t="s">
        <v>51</v>
      </c>
    </row>
    <row r="589" spans="1:12">
      <c r="A589" t="s">
        <v>1042</v>
      </c>
      <c r="B589" t="s">
        <v>882</v>
      </c>
      <c r="C589" t="s">
        <v>467</v>
      </c>
      <c r="D589" t="s">
        <v>191</v>
      </c>
      <c r="E589" t="s">
        <v>41</v>
      </c>
      <c r="F589" t="s">
        <v>48</v>
      </c>
      <c r="G589" t="s">
        <v>42</v>
      </c>
      <c r="H589" t="s">
        <v>43</v>
      </c>
      <c r="I589">
        <v>7</v>
      </c>
      <c r="J589">
        <v>2883</v>
      </c>
      <c r="K589">
        <v>0</v>
      </c>
      <c r="L589" t="s">
        <v>51</v>
      </c>
    </row>
    <row r="590" spans="1:12">
      <c r="A590" t="s">
        <v>1043</v>
      </c>
      <c r="B590" t="s">
        <v>329</v>
      </c>
      <c r="C590" t="s">
        <v>89</v>
      </c>
      <c r="D590" t="s">
        <v>66</v>
      </c>
      <c r="E590" t="s">
        <v>33</v>
      </c>
      <c r="F590" t="s">
        <v>48</v>
      </c>
      <c r="G590" t="s">
        <v>42</v>
      </c>
      <c r="H590" t="s">
        <v>67</v>
      </c>
      <c r="I590">
        <v>5</v>
      </c>
      <c r="J590">
        <v>3202</v>
      </c>
      <c r="K590">
        <v>0.05</v>
      </c>
      <c r="L590" t="s">
        <v>51</v>
      </c>
    </row>
    <row r="591" spans="1:12">
      <c r="A591" t="s">
        <v>1044</v>
      </c>
      <c r="B591" t="s">
        <v>1045</v>
      </c>
      <c r="C591" t="s">
        <v>23</v>
      </c>
      <c r="D591" t="s">
        <v>350</v>
      </c>
      <c r="E591" t="s">
        <v>41</v>
      </c>
      <c r="F591" t="s">
        <v>48</v>
      </c>
      <c r="G591" t="s">
        <v>49</v>
      </c>
      <c r="H591" t="s">
        <v>50</v>
      </c>
      <c r="I591">
        <v>3</v>
      </c>
      <c r="J591">
        <v>3398</v>
      </c>
      <c r="K591">
        <v>0.02</v>
      </c>
      <c r="L591" t="s">
        <v>51</v>
      </c>
    </row>
    <row r="592" spans="1:12">
      <c r="A592" t="s">
        <v>1046</v>
      </c>
      <c r="B592" t="s">
        <v>297</v>
      </c>
      <c r="C592" t="s">
        <v>46</v>
      </c>
      <c r="D592" t="s">
        <v>60</v>
      </c>
      <c r="E592" t="s">
        <v>25</v>
      </c>
      <c r="F592" t="s">
        <v>48</v>
      </c>
      <c r="G592" t="s">
        <v>27</v>
      </c>
      <c r="H592" t="s">
        <v>117</v>
      </c>
      <c r="I592">
        <v>2</v>
      </c>
      <c r="J592">
        <v>73989</v>
      </c>
      <c r="K592">
        <v>0.15</v>
      </c>
      <c r="L592" t="s">
        <v>51</v>
      </c>
    </row>
    <row r="593" spans="1:12">
      <c r="A593" t="s">
        <v>1047</v>
      </c>
      <c r="B593" t="s">
        <v>952</v>
      </c>
      <c r="C593" t="s">
        <v>54</v>
      </c>
      <c r="D593" t="s">
        <v>302</v>
      </c>
      <c r="E593" t="s">
        <v>33</v>
      </c>
      <c r="F593" t="s">
        <v>94</v>
      </c>
      <c r="G593" t="s">
        <v>61</v>
      </c>
      <c r="H593" t="s">
        <v>62</v>
      </c>
      <c r="I593">
        <v>1</v>
      </c>
      <c r="J593">
        <v>26662</v>
      </c>
      <c r="K593">
        <v>0.15</v>
      </c>
      <c r="L593" t="s">
        <v>51</v>
      </c>
    </row>
    <row r="594" spans="1:12">
      <c r="A594" t="s">
        <v>1048</v>
      </c>
      <c r="B594" t="s">
        <v>1049</v>
      </c>
      <c r="C594" t="s">
        <v>168</v>
      </c>
      <c r="D594" t="s">
        <v>152</v>
      </c>
      <c r="E594" t="s">
        <v>25</v>
      </c>
      <c r="F594" t="s">
        <v>26</v>
      </c>
      <c r="G594" t="s">
        <v>61</v>
      </c>
      <c r="H594" t="s">
        <v>62</v>
      </c>
      <c r="I594">
        <v>7</v>
      </c>
      <c r="J594">
        <v>21433</v>
      </c>
      <c r="K594">
        <v>0.08</v>
      </c>
      <c r="L594" t="s">
        <v>51</v>
      </c>
    </row>
    <row r="595" spans="1:12">
      <c r="A595" t="s">
        <v>1050</v>
      </c>
      <c r="B595" t="s">
        <v>1051</v>
      </c>
      <c r="C595" t="s">
        <v>89</v>
      </c>
      <c r="D595" t="s">
        <v>219</v>
      </c>
      <c r="E595" t="s">
        <v>25</v>
      </c>
      <c r="F595" t="s">
        <v>26</v>
      </c>
      <c r="G595" t="s">
        <v>61</v>
      </c>
      <c r="H595" t="s">
        <v>62</v>
      </c>
      <c r="I595">
        <v>0</v>
      </c>
      <c r="J595">
        <v>20999</v>
      </c>
      <c r="K595">
        <v>0.15</v>
      </c>
      <c r="L595" t="s">
        <v>51</v>
      </c>
    </row>
    <row r="596" spans="1:12">
      <c r="A596" t="s">
        <v>1052</v>
      </c>
      <c r="B596" t="s">
        <v>1053</v>
      </c>
      <c r="C596" t="s">
        <v>89</v>
      </c>
      <c r="D596" t="s">
        <v>285</v>
      </c>
      <c r="E596" t="s">
        <v>33</v>
      </c>
      <c r="F596" t="s">
        <v>94</v>
      </c>
      <c r="G596" t="s">
        <v>49</v>
      </c>
      <c r="H596" t="s">
        <v>249</v>
      </c>
      <c r="I596">
        <v>7</v>
      </c>
      <c r="J596">
        <v>2502</v>
      </c>
      <c r="K596">
        <v>0.05</v>
      </c>
      <c r="L596" t="s">
        <v>57</v>
      </c>
    </row>
    <row r="597" spans="1:12">
      <c r="A597" t="s">
        <v>1054</v>
      </c>
      <c r="B597" t="s">
        <v>993</v>
      </c>
      <c r="C597" t="s">
        <v>110</v>
      </c>
      <c r="D597" t="s">
        <v>269</v>
      </c>
      <c r="E597" t="s">
        <v>25</v>
      </c>
      <c r="F597" t="s">
        <v>26</v>
      </c>
      <c r="G597" t="s">
        <v>61</v>
      </c>
      <c r="H597" t="s">
        <v>90</v>
      </c>
      <c r="I597">
        <v>5</v>
      </c>
      <c r="J597">
        <v>14599</v>
      </c>
      <c r="K597">
        <v>0.08</v>
      </c>
      <c r="L597" t="s">
        <v>51</v>
      </c>
    </row>
    <row r="598" spans="1:12">
      <c r="A598" t="s">
        <v>1055</v>
      </c>
      <c r="B598" t="s">
        <v>580</v>
      </c>
      <c r="C598" t="s">
        <v>39</v>
      </c>
      <c r="D598" t="s">
        <v>159</v>
      </c>
      <c r="E598" t="s">
        <v>194</v>
      </c>
      <c r="F598" t="s">
        <v>48</v>
      </c>
      <c r="G598" t="s">
        <v>42</v>
      </c>
      <c r="H598" t="s">
        <v>67</v>
      </c>
      <c r="I598">
        <v>4</v>
      </c>
      <c r="J598">
        <v>1464</v>
      </c>
      <c r="K598">
        <v>0.15</v>
      </c>
      <c r="L598" t="s">
        <v>36</v>
      </c>
    </row>
    <row r="599" spans="1:12">
      <c r="A599" t="s">
        <v>1056</v>
      </c>
      <c r="B599" t="s">
        <v>147</v>
      </c>
      <c r="C599" t="s">
        <v>74</v>
      </c>
      <c r="D599" t="s">
        <v>302</v>
      </c>
      <c r="E599" t="s">
        <v>33</v>
      </c>
      <c r="F599" t="s">
        <v>48</v>
      </c>
      <c r="G599" t="s">
        <v>61</v>
      </c>
      <c r="H599" t="s">
        <v>90</v>
      </c>
      <c r="I599">
        <v>5</v>
      </c>
      <c r="J599">
        <v>16911</v>
      </c>
      <c r="K599">
        <v>0.05</v>
      </c>
      <c r="L599" t="s">
        <v>36</v>
      </c>
    </row>
    <row r="600" spans="1:12">
      <c r="A600" t="s">
        <v>1057</v>
      </c>
      <c r="B600" t="s">
        <v>533</v>
      </c>
      <c r="C600" t="s">
        <v>74</v>
      </c>
      <c r="D600" t="s">
        <v>200</v>
      </c>
      <c r="E600" t="s">
        <v>194</v>
      </c>
      <c r="F600" t="s">
        <v>48</v>
      </c>
      <c r="G600" t="s">
        <v>34</v>
      </c>
      <c r="H600" t="s">
        <v>145</v>
      </c>
      <c r="I600">
        <v>2</v>
      </c>
      <c r="J600">
        <v>3017</v>
      </c>
      <c r="K600">
        <v>0</v>
      </c>
      <c r="L600" t="s">
        <v>36</v>
      </c>
    </row>
    <row r="601" spans="1:12">
      <c r="A601" t="s">
        <v>1058</v>
      </c>
      <c r="B601" t="s">
        <v>531</v>
      </c>
      <c r="C601" t="s">
        <v>168</v>
      </c>
      <c r="D601" t="s">
        <v>32</v>
      </c>
      <c r="E601" t="s">
        <v>25</v>
      </c>
      <c r="F601" t="s">
        <v>48</v>
      </c>
      <c r="G601" t="s">
        <v>27</v>
      </c>
      <c r="H601" t="s">
        <v>117</v>
      </c>
      <c r="I601">
        <v>2</v>
      </c>
      <c r="J601">
        <v>50496</v>
      </c>
      <c r="K601">
        <v>0.08</v>
      </c>
      <c r="L601" t="s">
        <v>57</v>
      </c>
    </row>
    <row r="602" spans="1:12">
      <c r="A602" t="s">
        <v>1059</v>
      </c>
      <c r="B602" t="s">
        <v>235</v>
      </c>
      <c r="C602" t="s">
        <v>54</v>
      </c>
      <c r="D602" t="s">
        <v>86</v>
      </c>
      <c r="E602" t="s">
        <v>41</v>
      </c>
      <c r="F602" t="s">
        <v>48</v>
      </c>
      <c r="G602" t="s">
        <v>42</v>
      </c>
      <c r="H602" t="s">
        <v>43</v>
      </c>
      <c r="I602">
        <v>4</v>
      </c>
      <c r="J602">
        <v>712</v>
      </c>
      <c r="K602">
        <v>0.08</v>
      </c>
      <c r="L602" t="s">
        <v>51</v>
      </c>
    </row>
    <row r="603" spans="1:12">
      <c r="A603" t="s">
        <v>1060</v>
      </c>
      <c r="B603" t="s">
        <v>1061</v>
      </c>
      <c r="C603" t="s">
        <v>23</v>
      </c>
      <c r="D603" t="s">
        <v>93</v>
      </c>
      <c r="E603" t="s">
        <v>33</v>
      </c>
      <c r="F603" t="s">
        <v>26</v>
      </c>
      <c r="G603" t="s">
        <v>61</v>
      </c>
      <c r="H603" t="s">
        <v>75</v>
      </c>
      <c r="I603">
        <v>8</v>
      </c>
      <c r="J603">
        <v>25575</v>
      </c>
      <c r="K603">
        <v>0.05</v>
      </c>
      <c r="L603" t="s">
        <v>51</v>
      </c>
    </row>
    <row r="604" spans="1:12">
      <c r="A604" t="s">
        <v>1062</v>
      </c>
      <c r="B604" t="s">
        <v>1063</v>
      </c>
      <c r="C604" t="s">
        <v>89</v>
      </c>
      <c r="D604" t="s">
        <v>138</v>
      </c>
      <c r="E604" t="s">
        <v>41</v>
      </c>
      <c r="F604" t="s">
        <v>26</v>
      </c>
      <c r="G604" t="s">
        <v>42</v>
      </c>
      <c r="H604" t="s">
        <v>154</v>
      </c>
      <c r="I604">
        <v>1</v>
      </c>
      <c r="J604">
        <v>1227</v>
      </c>
      <c r="K604">
        <v>0</v>
      </c>
      <c r="L604" t="s">
        <v>51</v>
      </c>
    </row>
    <row r="605" spans="1:12">
      <c r="A605" t="s">
        <v>1064</v>
      </c>
      <c r="B605" t="s">
        <v>1065</v>
      </c>
      <c r="C605" t="s">
        <v>70</v>
      </c>
      <c r="D605" t="s">
        <v>152</v>
      </c>
      <c r="E605" t="s">
        <v>25</v>
      </c>
      <c r="F605" t="s">
        <v>26</v>
      </c>
      <c r="G605" t="s">
        <v>34</v>
      </c>
      <c r="H605" t="s">
        <v>98</v>
      </c>
      <c r="I605">
        <v>2</v>
      </c>
      <c r="J605" t="s">
        <v>122</v>
      </c>
      <c r="K605">
        <v>0.08</v>
      </c>
      <c r="L605" t="s">
        <v>36</v>
      </c>
    </row>
    <row r="606" spans="1:12">
      <c r="A606" t="s">
        <v>1066</v>
      </c>
      <c r="B606" t="s">
        <v>352</v>
      </c>
      <c r="C606" t="s">
        <v>281</v>
      </c>
      <c r="D606" t="s">
        <v>66</v>
      </c>
      <c r="E606" t="s">
        <v>41</v>
      </c>
      <c r="F606" t="s">
        <v>48</v>
      </c>
      <c r="G606" t="s">
        <v>34</v>
      </c>
      <c r="H606" t="s">
        <v>98</v>
      </c>
      <c r="I606">
        <v>4</v>
      </c>
      <c r="J606">
        <v>2318</v>
      </c>
      <c r="K606">
        <v>0.02</v>
      </c>
      <c r="L606" t="s">
        <v>36</v>
      </c>
    </row>
    <row r="607" spans="1:12">
      <c r="A607" t="s">
        <v>1067</v>
      </c>
      <c r="B607" t="s">
        <v>607</v>
      </c>
      <c r="C607" t="s">
        <v>74</v>
      </c>
      <c r="D607" t="s">
        <v>285</v>
      </c>
      <c r="E607" t="s">
        <v>25</v>
      </c>
      <c r="F607" t="s">
        <v>94</v>
      </c>
      <c r="G607" t="s">
        <v>42</v>
      </c>
      <c r="H607" t="s">
        <v>43</v>
      </c>
      <c r="I607">
        <v>7</v>
      </c>
      <c r="J607">
        <v>3257</v>
      </c>
      <c r="K607">
        <v>0.15</v>
      </c>
      <c r="L607" t="s">
        <v>51</v>
      </c>
    </row>
    <row r="608" spans="1:12">
      <c r="A608" t="s">
        <v>1068</v>
      </c>
      <c r="B608" t="s">
        <v>1069</v>
      </c>
      <c r="C608" t="s">
        <v>89</v>
      </c>
      <c r="D608" t="s">
        <v>66</v>
      </c>
      <c r="E608" t="s">
        <v>33</v>
      </c>
      <c r="F608" t="s">
        <v>94</v>
      </c>
      <c r="G608" t="s">
        <v>61</v>
      </c>
      <c r="H608" t="s">
        <v>75</v>
      </c>
      <c r="I608">
        <v>7</v>
      </c>
      <c r="J608">
        <v>15060</v>
      </c>
      <c r="K608">
        <v>0.08</v>
      </c>
      <c r="L608" t="s">
        <v>57</v>
      </c>
    </row>
    <row r="609" spans="1:12">
      <c r="A609" t="s">
        <v>1070</v>
      </c>
      <c r="B609" t="s">
        <v>559</v>
      </c>
      <c r="C609" t="s">
        <v>70</v>
      </c>
      <c r="D609" t="s">
        <v>125</v>
      </c>
      <c r="E609" t="s">
        <v>25</v>
      </c>
      <c r="F609" t="s">
        <v>26</v>
      </c>
      <c r="G609" t="s">
        <v>61</v>
      </c>
      <c r="H609" t="s">
        <v>90</v>
      </c>
      <c r="I609">
        <v>1</v>
      </c>
      <c r="J609">
        <v>20855</v>
      </c>
      <c r="K609">
        <v>0.05</v>
      </c>
      <c r="L609" t="s">
        <v>51</v>
      </c>
    </row>
    <row r="610" spans="1:12">
      <c r="A610" t="s">
        <v>1071</v>
      </c>
      <c r="B610" t="s">
        <v>113</v>
      </c>
      <c r="C610" t="s">
        <v>70</v>
      </c>
      <c r="D610" t="s">
        <v>105</v>
      </c>
      <c r="E610" t="s">
        <v>25</v>
      </c>
      <c r="F610" t="s">
        <v>26</v>
      </c>
      <c r="G610" t="s">
        <v>34</v>
      </c>
      <c r="H610" t="s">
        <v>35</v>
      </c>
      <c r="I610">
        <v>2</v>
      </c>
      <c r="J610">
        <v>4023</v>
      </c>
      <c r="K610">
        <v>0.02</v>
      </c>
      <c r="L610" t="s">
        <v>51</v>
      </c>
    </row>
    <row r="611" spans="1:12">
      <c r="A611" t="s">
        <v>1072</v>
      </c>
      <c r="B611" t="s">
        <v>1073</v>
      </c>
      <c r="C611" t="s">
        <v>70</v>
      </c>
      <c r="D611" t="s">
        <v>24</v>
      </c>
      <c r="E611" t="s">
        <v>41</v>
      </c>
      <c r="F611" t="s">
        <v>48</v>
      </c>
      <c r="G611" t="s">
        <v>34</v>
      </c>
      <c r="H611" t="s">
        <v>145</v>
      </c>
      <c r="I611">
        <v>1</v>
      </c>
      <c r="J611">
        <v>2545</v>
      </c>
      <c r="K611">
        <v>0</v>
      </c>
      <c r="L611" t="s">
        <v>36</v>
      </c>
    </row>
    <row r="612" spans="1:12">
      <c r="A612" t="s">
        <v>1074</v>
      </c>
      <c r="B612" t="s">
        <v>995</v>
      </c>
      <c r="C612" t="s">
        <v>70</v>
      </c>
      <c r="D612" t="s">
        <v>111</v>
      </c>
      <c r="E612" t="s">
        <v>33</v>
      </c>
      <c r="F612" t="s">
        <v>26</v>
      </c>
      <c r="G612" t="s">
        <v>27</v>
      </c>
      <c r="H612" t="s">
        <v>141</v>
      </c>
      <c r="I612">
        <v>2</v>
      </c>
      <c r="J612">
        <v>63300</v>
      </c>
      <c r="K612">
        <v>0.15</v>
      </c>
      <c r="L612" t="s">
        <v>51</v>
      </c>
    </row>
    <row r="613" spans="1:12">
      <c r="A613" t="s">
        <v>1075</v>
      </c>
      <c r="B613" t="s">
        <v>913</v>
      </c>
      <c r="C613" t="s">
        <v>23</v>
      </c>
      <c r="D613" t="s">
        <v>285</v>
      </c>
      <c r="E613" t="s">
        <v>33</v>
      </c>
      <c r="F613" t="s">
        <v>94</v>
      </c>
      <c r="G613" t="s">
        <v>34</v>
      </c>
      <c r="H613" t="s">
        <v>98</v>
      </c>
      <c r="I613">
        <v>3</v>
      </c>
      <c r="J613" t="s">
        <v>122</v>
      </c>
      <c r="K613">
        <v>0.1</v>
      </c>
      <c r="L613" t="s">
        <v>51</v>
      </c>
    </row>
    <row r="614" spans="1:12">
      <c r="A614" t="s">
        <v>1076</v>
      </c>
      <c r="B614" t="s">
        <v>435</v>
      </c>
      <c r="C614" t="s">
        <v>110</v>
      </c>
      <c r="D614" t="s">
        <v>127</v>
      </c>
      <c r="E614" t="s">
        <v>25</v>
      </c>
      <c r="F614" t="s">
        <v>48</v>
      </c>
      <c r="G614" t="s">
        <v>27</v>
      </c>
      <c r="H614" t="s">
        <v>28</v>
      </c>
      <c r="I614">
        <v>6</v>
      </c>
      <c r="J614" t="s">
        <v>244</v>
      </c>
      <c r="K614">
        <v>0.05</v>
      </c>
      <c r="L614" t="s">
        <v>36</v>
      </c>
    </row>
    <row r="615" spans="1:12">
      <c r="A615" t="s">
        <v>1077</v>
      </c>
      <c r="B615" t="s">
        <v>496</v>
      </c>
      <c r="C615" t="s">
        <v>725</v>
      </c>
      <c r="D615" t="s">
        <v>47</v>
      </c>
      <c r="E615" t="s">
        <v>41</v>
      </c>
      <c r="F615" t="s">
        <v>184</v>
      </c>
      <c r="G615" t="s">
        <v>42</v>
      </c>
      <c r="H615" t="s">
        <v>67</v>
      </c>
      <c r="I615">
        <v>6</v>
      </c>
      <c r="J615">
        <v>2936</v>
      </c>
      <c r="K615">
        <v>0.08</v>
      </c>
      <c r="L615" t="s">
        <v>51</v>
      </c>
    </row>
    <row r="616" spans="1:12">
      <c r="A616" t="s">
        <v>1078</v>
      </c>
      <c r="B616" t="s">
        <v>432</v>
      </c>
      <c r="C616" t="s">
        <v>74</v>
      </c>
      <c r="D616" t="s">
        <v>127</v>
      </c>
      <c r="E616" t="s">
        <v>33</v>
      </c>
      <c r="F616" t="s">
        <v>48</v>
      </c>
      <c r="G616" t="s">
        <v>34</v>
      </c>
      <c r="H616" t="s">
        <v>35</v>
      </c>
      <c r="I616">
        <v>8</v>
      </c>
      <c r="J616">
        <v>3249</v>
      </c>
      <c r="K616">
        <v>0.1</v>
      </c>
      <c r="L616" t="s">
        <v>51</v>
      </c>
    </row>
    <row r="617" spans="1:12">
      <c r="A617" t="s">
        <v>1079</v>
      </c>
      <c r="B617" t="s">
        <v>1080</v>
      </c>
      <c r="C617" t="s">
        <v>54</v>
      </c>
      <c r="D617" t="s">
        <v>219</v>
      </c>
      <c r="E617" t="s">
        <v>33</v>
      </c>
      <c r="F617" t="s">
        <v>184</v>
      </c>
      <c r="G617" t="s">
        <v>42</v>
      </c>
      <c r="H617" t="s">
        <v>67</v>
      </c>
      <c r="I617">
        <v>4</v>
      </c>
      <c r="J617">
        <v>2444</v>
      </c>
      <c r="K617">
        <v>0</v>
      </c>
      <c r="L617" t="s">
        <v>57</v>
      </c>
    </row>
    <row r="618" spans="1:12">
      <c r="A618" t="s">
        <v>1081</v>
      </c>
      <c r="B618" t="s">
        <v>696</v>
      </c>
      <c r="C618" t="s">
        <v>39</v>
      </c>
      <c r="D618" t="s">
        <v>350</v>
      </c>
      <c r="E618" t="s">
        <v>33</v>
      </c>
      <c r="F618" t="s">
        <v>94</v>
      </c>
      <c r="G618" t="s">
        <v>42</v>
      </c>
      <c r="H618" t="s">
        <v>154</v>
      </c>
      <c r="I618">
        <v>3</v>
      </c>
      <c r="J618">
        <v>2240</v>
      </c>
      <c r="K618">
        <v>0</v>
      </c>
      <c r="L618" t="s">
        <v>36</v>
      </c>
    </row>
    <row r="619" spans="1:12">
      <c r="A619" t="s">
        <v>1082</v>
      </c>
      <c r="B619" t="s">
        <v>618</v>
      </c>
      <c r="C619" t="s">
        <v>46</v>
      </c>
      <c r="D619" t="s">
        <v>285</v>
      </c>
      <c r="E619" t="s">
        <v>33</v>
      </c>
      <c r="F619" t="s">
        <v>26</v>
      </c>
      <c r="G619" t="s">
        <v>49</v>
      </c>
      <c r="H619" t="s">
        <v>50</v>
      </c>
      <c r="I619">
        <v>7</v>
      </c>
      <c r="J619">
        <v>6151</v>
      </c>
      <c r="K619">
        <v>0.08</v>
      </c>
      <c r="L619" t="s">
        <v>57</v>
      </c>
    </row>
    <row r="620" spans="1:12">
      <c r="A620" t="s">
        <v>1083</v>
      </c>
      <c r="B620" t="s">
        <v>813</v>
      </c>
      <c r="C620" t="s">
        <v>23</v>
      </c>
      <c r="D620" t="s">
        <v>82</v>
      </c>
      <c r="E620" t="s">
        <v>41</v>
      </c>
      <c r="F620" t="s">
        <v>26</v>
      </c>
      <c r="G620" t="s">
        <v>49</v>
      </c>
      <c r="H620" t="s">
        <v>83</v>
      </c>
      <c r="I620">
        <v>6</v>
      </c>
      <c r="J620">
        <v>6461</v>
      </c>
      <c r="K620">
        <v>0.15</v>
      </c>
      <c r="L620" t="s">
        <v>57</v>
      </c>
    </row>
    <row r="621" spans="1:12">
      <c r="A621" t="s">
        <v>1084</v>
      </c>
      <c r="B621" t="s">
        <v>1085</v>
      </c>
      <c r="C621" t="s">
        <v>74</v>
      </c>
      <c r="D621" t="s">
        <v>93</v>
      </c>
      <c r="E621" t="s">
        <v>41</v>
      </c>
      <c r="F621" t="s">
        <v>26</v>
      </c>
      <c r="G621" t="s">
        <v>49</v>
      </c>
      <c r="H621" t="s">
        <v>50</v>
      </c>
      <c r="I621">
        <v>2</v>
      </c>
      <c r="J621">
        <v>2138</v>
      </c>
      <c r="K621">
        <v>0.15</v>
      </c>
      <c r="L621" t="s">
        <v>36</v>
      </c>
    </row>
    <row r="622" spans="1:12">
      <c r="A622" t="s">
        <v>1086</v>
      </c>
      <c r="B622" t="s">
        <v>1025</v>
      </c>
      <c r="C622" t="s">
        <v>89</v>
      </c>
      <c r="D622" t="s">
        <v>219</v>
      </c>
      <c r="E622" t="s">
        <v>41</v>
      </c>
      <c r="F622" t="s">
        <v>26</v>
      </c>
      <c r="G622" t="s">
        <v>27</v>
      </c>
      <c r="H622" t="s">
        <v>117</v>
      </c>
      <c r="I622">
        <v>4</v>
      </c>
      <c r="J622">
        <v>79366</v>
      </c>
      <c r="K622">
        <v>0.05</v>
      </c>
      <c r="L622" t="s">
        <v>51</v>
      </c>
    </row>
    <row r="623" spans="1:12">
      <c r="A623" t="s">
        <v>1087</v>
      </c>
      <c r="B623" t="s">
        <v>627</v>
      </c>
      <c r="C623" t="s">
        <v>46</v>
      </c>
      <c r="D623" t="s">
        <v>350</v>
      </c>
      <c r="E623" t="s">
        <v>25</v>
      </c>
      <c r="F623" t="s">
        <v>26</v>
      </c>
      <c r="G623" t="s">
        <v>34</v>
      </c>
      <c r="H623" t="s">
        <v>98</v>
      </c>
      <c r="I623">
        <v>4</v>
      </c>
      <c r="J623">
        <v>4973</v>
      </c>
      <c r="K623">
        <v>0.02</v>
      </c>
      <c r="L623" t="s">
        <v>51</v>
      </c>
    </row>
    <row r="624" spans="1:12">
      <c r="A624" t="s">
        <v>1088</v>
      </c>
      <c r="B624" t="s">
        <v>188</v>
      </c>
      <c r="C624" t="s">
        <v>54</v>
      </c>
      <c r="D624" t="s">
        <v>285</v>
      </c>
      <c r="E624" t="s">
        <v>25</v>
      </c>
      <c r="F624" t="s">
        <v>26</v>
      </c>
      <c r="G624" t="s">
        <v>34</v>
      </c>
      <c r="H624" t="s">
        <v>98</v>
      </c>
      <c r="I624">
        <v>6</v>
      </c>
      <c r="J624">
        <v>3885</v>
      </c>
      <c r="K624">
        <v>0.15</v>
      </c>
      <c r="L624" t="s">
        <v>29</v>
      </c>
    </row>
    <row r="625" spans="1:12">
      <c r="A625" t="s">
        <v>1089</v>
      </c>
      <c r="B625" t="s">
        <v>1090</v>
      </c>
      <c r="C625" t="s">
        <v>74</v>
      </c>
      <c r="D625" t="s">
        <v>200</v>
      </c>
      <c r="E625" t="s">
        <v>41</v>
      </c>
      <c r="F625" t="s">
        <v>48</v>
      </c>
      <c r="G625" t="s">
        <v>42</v>
      </c>
      <c r="H625" t="s">
        <v>43</v>
      </c>
      <c r="I625">
        <v>6</v>
      </c>
      <c r="J625">
        <v>1776</v>
      </c>
      <c r="K625">
        <v>0</v>
      </c>
      <c r="L625" t="s">
        <v>57</v>
      </c>
    </row>
    <row r="626" spans="1:12">
      <c r="A626" t="s">
        <v>1091</v>
      </c>
      <c r="B626" t="s">
        <v>291</v>
      </c>
      <c r="C626" t="s">
        <v>54</v>
      </c>
      <c r="D626" t="s">
        <v>159</v>
      </c>
      <c r="E626" t="s">
        <v>41</v>
      </c>
      <c r="F626" t="s">
        <v>48</v>
      </c>
      <c r="G626" t="s">
        <v>27</v>
      </c>
      <c r="H626" t="s">
        <v>28</v>
      </c>
      <c r="I626">
        <v>6</v>
      </c>
      <c r="J626">
        <v>83140</v>
      </c>
      <c r="K626">
        <v>0.02</v>
      </c>
      <c r="L626" t="s">
        <v>29</v>
      </c>
    </row>
    <row r="627" spans="1:12">
      <c r="A627" t="s">
        <v>1092</v>
      </c>
      <c r="B627" t="s">
        <v>213</v>
      </c>
      <c r="C627" t="s">
        <v>23</v>
      </c>
      <c r="D627" t="s">
        <v>111</v>
      </c>
      <c r="E627" t="s">
        <v>33</v>
      </c>
      <c r="F627" t="s">
        <v>26</v>
      </c>
      <c r="G627" t="s">
        <v>34</v>
      </c>
      <c r="H627" t="s">
        <v>35</v>
      </c>
      <c r="I627">
        <v>1</v>
      </c>
      <c r="J627">
        <v>2093</v>
      </c>
      <c r="K627">
        <v>0.05</v>
      </c>
      <c r="L627" t="s">
        <v>51</v>
      </c>
    </row>
    <row r="628" spans="1:12">
      <c r="A628" t="s">
        <v>1093</v>
      </c>
      <c r="B628" t="s">
        <v>1094</v>
      </c>
      <c r="C628" t="s">
        <v>46</v>
      </c>
      <c r="D628" t="s">
        <v>105</v>
      </c>
      <c r="E628" t="s">
        <v>33</v>
      </c>
      <c r="F628" t="s">
        <v>94</v>
      </c>
      <c r="G628" t="s">
        <v>61</v>
      </c>
      <c r="H628" t="s">
        <v>62</v>
      </c>
      <c r="I628">
        <v>7</v>
      </c>
      <c r="J628">
        <v>10912</v>
      </c>
      <c r="K628">
        <v>0.08</v>
      </c>
      <c r="L628" t="s">
        <v>57</v>
      </c>
    </row>
    <row r="629" spans="1:12">
      <c r="A629" t="s">
        <v>1095</v>
      </c>
      <c r="B629" t="s">
        <v>1096</v>
      </c>
      <c r="C629" t="s">
        <v>89</v>
      </c>
      <c r="D629" t="s">
        <v>60</v>
      </c>
      <c r="E629" t="s">
        <v>33</v>
      </c>
      <c r="F629" t="s">
        <v>26</v>
      </c>
      <c r="G629" t="s">
        <v>34</v>
      </c>
      <c r="H629" t="s">
        <v>35</v>
      </c>
      <c r="I629">
        <v>1</v>
      </c>
      <c r="J629">
        <v>1879</v>
      </c>
      <c r="K629">
        <v>0.02</v>
      </c>
      <c r="L629" t="s">
        <v>51</v>
      </c>
    </row>
    <row r="630" spans="1:12">
      <c r="A630" t="s">
        <v>1097</v>
      </c>
      <c r="B630" t="s">
        <v>96</v>
      </c>
      <c r="C630" t="s">
        <v>23</v>
      </c>
      <c r="D630" t="s">
        <v>219</v>
      </c>
      <c r="E630" t="s">
        <v>33</v>
      </c>
      <c r="F630" t="s">
        <v>94</v>
      </c>
      <c r="G630" t="s">
        <v>61</v>
      </c>
      <c r="H630" t="s">
        <v>75</v>
      </c>
      <c r="I630">
        <v>7</v>
      </c>
      <c r="J630">
        <v>24745</v>
      </c>
      <c r="K630">
        <v>0.1</v>
      </c>
      <c r="L630" t="s">
        <v>36</v>
      </c>
    </row>
    <row r="631" spans="1:12">
      <c r="A631" t="s">
        <v>1098</v>
      </c>
      <c r="B631" t="s">
        <v>1099</v>
      </c>
      <c r="C631" t="s">
        <v>23</v>
      </c>
      <c r="D631" t="s">
        <v>97</v>
      </c>
      <c r="E631" t="s">
        <v>25</v>
      </c>
      <c r="F631" t="s">
        <v>48</v>
      </c>
      <c r="G631" t="s">
        <v>34</v>
      </c>
      <c r="H631" t="s">
        <v>145</v>
      </c>
      <c r="I631">
        <v>3</v>
      </c>
      <c r="J631">
        <v>2262</v>
      </c>
      <c r="K631">
        <v>0.05</v>
      </c>
      <c r="L631" t="s">
        <v>51</v>
      </c>
    </row>
    <row r="632" spans="1:12">
      <c r="A632" t="s">
        <v>1100</v>
      </c>
      <c r="B632" t="s">
        <v>555</v>
      </c>
      <c r="C632" t="s">
        <v>74</v>
      </c>
      <c r="D632" t="s">
        <v>111</v>
      </c>
      <c r="E632" t="s">
        <v>41</v>
      </c>
      <c r="F632" t="s">
        <v>26</v>
      </c>
      <c r="G632" t="s">
        <v>42</v>
      </c>
      <c r="H632" t="s">
        <v>154</v>
      </c>
      <c r="I632">
        <v>8</v>
      </c>
      <c r="J632">
        <v>2401</v>
      </c>
      <c r="K632">
        <v>0.02</v>
      </c>
      <c r="L632" t="s">
        <v>51</v>
      </c>
    </row>
    <row r="633" spans="1:12">
      <c r="A633" t="s">
        <v>1101</v>
      </c>
      <c r="B633" t="s">
        <v>1102</v>
      </c>
      <c r="C633" t="s">
        <v>70</v>
      </c>
      <c r="D633" t="s">
        <v>97</v>
      </c>
      <c r="E633" t="s">
        <v>33</v>
      </c>
      <c r="F633" t="s">
        <v>48</v>
      </c>
      <c r="G633" t="s">
        <v>42</v>
      </c>
      <c r="H633" t="s">
        <v>67</v>
      </c>
      <c r="I633">
        <v>2</v>
      </c>
      <c r="J633">
        <v>2032</v>
      </c>
      <c r="K633">
        <v>0.1</v>
      </c>
      <c r="L633" t="s">
        <v>36</v>
      </c>
    </row>
    <row r="634" spans="1:12">
      <c r="A634" t="s">
        <v>1103</v>
      </c>
      <c r="B634" t="s">
        <v>718</v>
      </c>
      <c r="C634" t="s">
        <v>23</v>
      </c>
      <c r="D634" t="s">
        <v>285</v>
      </c>
      <c r="E634" t="s">
        <v>33</v>
      </c>
      <c r="F634" t="s">
        <v>48</v>
      </c>
      <c r="G634" t="s">
        <v>61</v>
      </c>
      <c r="H634" t="s">
        <v>90</v>
      </c>
      <c r="I634">
        <v>4</v>
      </c>
      <c r="J634">
        <v>19676</v>
      </c>
      <c r="K634">
        <v>0.15</v>
      </c>
      <c r="L634" t="s">
        <v>29</v>
      </c>
    </row>
    <row r="635" spans="1:12">
      <c r="A635" t="s">
        <v>1104</v>
      </c>
      <c r="B635" t="s">
        <v>1069</v>
      </c>
      <c r="C635" t="s">
        <v>74</v>
      </c>
      <c r="D635" t="s">
        <v>159</v>
      </c>
      <c r="E635" t="s">
        <v>41</v>
      </c>
      <c r="F635" t="s">
        <v>48</v>
      </c>
      <c r="G635" t="s">
        <v>49</v>
      </c>
      <c r="H635" t="s">
        <v>249</v>
      </c>
      <c r="I635">
        <v>8</v>
      </c>
      <c r="J635">
        <v>2500</v>
      </c>
      <c r="K635">
        <v>0.15</v>
      </c>
      <c r="L635" t="s">
        <v>36</v>
      </c>
    </row>
    <row r="636" spans="1:12">
      <c r="A636" t="s">
        <v>1105</v>
      </c>
      <c r="B636" t="s">
        <v>1015</v>
      </c>
      <c r="C636" t="s">
        <v>74</v>
      </c>
      <c r="D636" t="s">
        <v>152</v>
      </c>
      <c r="E636" t="s">
        <v>33</v>
      </c>
      <c r="F636" t="s">
        <v>94</v>
      </c>
      <c r="G636" t="s">
        <v>49</v>
      </c>
      <c r="H636" t="s">
        <v>83</v>
      </c>
      <c r="I636">
        <v>3</v>
      </c>
      <c r="J636">
        <v>2072</v>
      </c>
      <c r="K636">
        <v>0</v>
      </c>
      <c r="L636" t="s">
        <v>51</v>
      </c>
    </row>
    <row r="637" spans="1:12">
      <c r="A637" t="s">
        <v>1106</v>
      </c>
      <c r="B637" t="s">
        <v>38</v>
      </c>
      <c r="C637" t="s">
        <v>74</v>
      </c>
      <c r="D637" t="s">
        <v>105</v>
      </c>
      <c r="E637" t="s">
        <v>33</v>
      </c>
      <c r="F637" t="s">
        <v>26</v>
      </c>
      <c r="G637" t="s">
        <v>61</v>
      </c>
      <c r="H637" t="s">
        <v>62</v>
      </c>
      <c r="I637">
        <v>1</v>
      </c>
      <c r="J637">
        <v>26956</v>
      </c>
      <c r="K637">
        <v>0.05</v>
      </c>
      <c r="L637" t="s">
        <v>57</v>
      </c>
    </row>
    <row r="638" spans="1:12">
      <c r="A638" t="s">
        <v>1107</v>
      </c>
      <c r="B638" t="s">
        <v>1108</v>
      </c>
      <c r="C638" t="s">
        <v>725</v>
      </c>
      <c r="D638" t="s">
        <v>138</v>
      </c>
      <c r="E638" t="s">
        <v>25</v>
      </c>
      <c r="F638" t="s">
        <v>26</v>
      </c>
      <c r="G638" t="s">
        <v>27</v>
      </c>
      <c r="H638" t="s">
        <v>28</v>
      </c>
      <c r="I638">
        <v>2</v>
      </c>
      <c r="J638">
        <v>63227</v>
      </c>
      <c r="K638">
        <v>0.1</v>
      </c>
      <c r="L638" t="s">
        <v>57</v>
      </c>
    </row>
    <row r="639" spans="1:12">
      <c r="A639" t="s">
        <v>1109</v>
      </c>
      <c r="B639" t="s">
        <v>1110</v>
      </c>
      <c r="C639" t="s">
        <v>74</v>
      </c>
      <c r="D639" t="s">
        <v>66</v>
      </c>
      <c r="E639" t="s">
        <v>41</v>
      </c>
      <c r="F639" t="s">
        <v>48</v>
      </c>
      <c r="G639" t="s">
        <v>27</v>
      </c>
      <c r="H639" t="s">
        <v>141</v>
      </c>
      <c r="I639">
        <v>4</v>
      </c>
      <c r="J639">
        <v>76324</v>
      </c>
      <c r="K639">
        <v>0</v>
      </c>
      <c r="L639" t="s">
        <v>57</v>
      </c>
    </row>
    <row r="640" spans="1:12">
      <c r="A640" t="s">
        <v>1111</v>
      </c>
      <c r="B640" t="s">
        <v>1061</v>
      </c>
      <c r="C640" t="s">
        <v>78</v>
      </c>
      <c r="D640" t="s">
        <v>93</v>
      </c>
      <c r="E640" t="s">
        <v>25</v>
      </c>
      <c r="F640" t="s">
        <v>26</v>
      </c>
      <c r="G640" t="s">
        <v>42</v>
      </c>
      <c r="H640" t="s">
        <v>154</v>
      </c>
      <c r="I640">
        <v>7</v>
      </c>
      <c r="J640">
        <v>1174</v>
      </c>
      <c r="K640">
        <v>0.08</v>
      </c>
      <c r="L640" t="s">
        <v>51</v>
      </c>
    </row>
    <row r="641" spans="1:12">
      <c r="A641" t="s">
        <v>1112</v>
      </c>
      <c r="B641" t="s">
        <v>1113</v>
      </c>
      <c r="C641" t="s">
        <v>379</v>
      </c>
      <c r="D641" t="s">
        <v>138</v>
      </c>
      <c r="E641" t="s">
        <v>41</v>
      </c>
      <c r="F641" t="s">
        <v>48</v>
      </c>
      <c r="G641" t="s">
        <v>61</v>
      </c>
      <c r="H641" t="s">
        <v>90</v>
      </c>
      <c r="I641">
        <v>3</v>
      </c>
      <c r="J641">
        <v>23920</v>
      </c>
      <c r="K641">
        <v>0.05</v>
      </c>
      <c r="L641" t="s">
        <v>51</v>
      </c>
    </row>
    <row r="642" spans="1:12">
      <c r="A642" t="s">
        <v>1114</v>
      </c>
      <c r="B642" t="s">
        <v>352</v>
      </c>
      <c r="C642" t="s">
        <v>89</v>
      </c>
      <c r="D642" t="s">
        <v>105</v>
      </c>
      <c r="E642" t="s">
        <v>41</v>
      </c>
      <c r="F642" t="s">
        <v>94</v>
      </c>
      <c r="G642" t="s">
        <v>34</v>
      </c>
      <c r="H642" t="s">
        <v>98</v>
      </c>
      <c r="I642">
        <v>6</v>
      </c>
      <c r="J642">
        <v>2958</v>
      </c>
      <c r="K642">
        <v>0.02</v>
      </c>
      <c r="L642" t="s">
        <v>36</v>
      </c>
    </row>
    <row r="643" spans="1:12">
      <c r="A643" t="s">
        <v>1115</v>
      </c>
      <c r="B643" t="s">
        <v>1116</v>
      </c>
      <c r="C643" t="s">
        <v>379</v>
      </c>
      <c r="D643" t="s">
        <v>93</v>
      </c>
      <c r="E643" t="s">
        <v>25</v>
      </c>
      <c r="F643" t="s">
        <v>26</v>
      </c>
      <c r="G643" t="s">
        <v>61</v>
      </c>
      <c r="H643" t="s">
        <v>75</v>
      </c>
      <c r="I643">
        <v>3</v>
      </c>
      <c r="J643">
        <v>10763</v>
      </c>
      <c r="K643">
        <v>0.08</v>
      </c>
      <c r="L643" t="s">
        <v>51</v>
      </c>
    </row>
    <row r="644" spans="1:12">
      <c r="A644" t="s">
        <v>1117</v>
      </c>
      <c r="B644" t="s">
        <v>810</v>
      </c>
      <c r="C644" t="s">
        <v>54</v>
      </c>
      <c r="D644" t="s">
        <v>24</v>
      </c>
      <c r="E644" t="s">
        <v>41</v>
      </c>
      <c r="F644" t="s">
        <v>26</v>
      </c>
      <c r="G644" t="s">
        <v>34</v>
      </c>
      <c r="H644" t="s">
        <v>98</v>
      </c>
      <c r="I644">
        <v>4</v>
      </c>
      <c r="J644">
        <v>3017</v>
      </c>
      <c r="K644">
        <v>0</v>
      </c>
      <c r="L644" t="s">
        <v>51</v>
      </c>
    </row>
    <row r="645" spans="1:12">
      <c r="A645" t="s">
        <v>1118</v>
      </c>
      <c r="B645" t="s">
        <v>851</v>
      </c>
      <c r="C645" t="s">
        <v>89</v>
      </c>
      <c r="D645" t="s">
        <v>24</v>
      </c>
      <c r="E645" t="s">
        <v>33</v>
      </c>
      <c r="F645" t="s">
        <v>243</v>
      </c>
      <c r="G645" t="s">
        <v>61</v>
      </c>
      <c r="H645" t="s">
        <v>75</v>
      </c>
      <c r="I645">
        <v>7</v>
      </c>
      <c r="J645">
        <v>12487</v>
      </c>
      <c r="K645">
        <v>0</v>
      </c>
      <c r="L645" t="s">
        <v>51</v>
      </c>
    </row>
    <row r="646" spans="1:12">
      <c r="A646" t="s">
        <v>1119</v>
      </c>
      <c r="B646" t="s">
        <v>167</v>
      </c>
      <c r="C646" t="s">
        <v>89</v>
      </c>
      <c r="D646" t="s">
        <v>135</v>
      </c>
      <c r="E646" t="s">
        <v>25</v>
      </c>
      <c r="F646" t="s">
        <v>48</v>
      </c>
      <c r="G646" t="s">
        <v>27</v>
      </c>
      <c r="H646" t="s">
        <v>117</v>
      </c>
      <c r="I646">
        <v>1</v>
      </c>
      <c r="J646">
        <v>69002</v>
      </c>
      <c r="K646">
        <v>0.15</v>
      </c>
      <c r="L646" t="s">
        <v>51</v>
      </c>
    </row>
    <row r="647" spans="1:12">
      <c r="A647" t="s">
        <v>1120</v>
      </c>
      <c r="B647" t="s">
        <v>340</v>
      </c>
      <c r="C647" t="s">
        <v>54</v>
      </c>
      <c r="D647" t="s">
        <v>114</v>
      </c>
      <c r="E647" t="s">
        <v>33</v>
      </c>
      <c r="F647" t="s">
        <v>48</v>
      </c>
      <c r="G647" t="s">
        <v>34</v>
      </c>
      <c r="H647" t="s">
        <v>35</v>
      </c>
      <c r="I647">
        <v>7</v>
      </c>
      <c r="J647">
        <v>2810</v>
      </c>
      <c r="K647">
        <v>0.02</v>
      </c>
      <c r="L647" t="s">
        <v>51</v>
      </c>
    </row>
    <row r="648" spans="1:12">
      <c r="A648" t="s">
        <v>1121</v>
      </c>
      <c r="B648" t="s">
        <v>122</v>
      </c>
      <c r="C648" t="s">
        <v>725</v>
      </c>
      <c r="D648" t="s">
        <v>105</v>
      </c>
      <c r="E648" t="s">
        <v>41</v>
      </c>
      <c r="F648" t="s">
        <v>94</v>
      </c>
      <c r="G648" t="s">
        <v>42</v>
      </c>
      <c r="H648" t="s">
        <v>43</v>
      </c>
      <c r="I648">
        <v>2</v>
      </c>
      <c r="J648">
        <v>1023</v>
      </c>
      <c r="K648">
        <v>0.1</v>
      </c>
      <c r="L648" t="s">
        <v>51</v>
      </c>
    </row>
    <row r="649" spans="1:12">
      <c r="A649" t="s">
        <v>1122</v>
      </c>
      <c r="B649" t="s">
        <v>1123</v>
      </c>
      <c r="C649" t="s">
        <v>23</v>
      </c>
      <c r="D649" t="s">
        <v>191</v>
      </c>
      <c r="E649" t="s">
        <v>41</v>
      </c>
      <c r="F649" t="s">
        <v>184</v>
      </c>
      <c r="G649" t="s">
        <v>34</v>
      </c>
      <c r="H649" t="s">
        <v>35</v>
      </c>
      <c r="I649">
        <v>5</v>
      </c>
      <c r="J649">
        <v>1756</v>
      </c>
      <c r="K649">
        <v>0.1</v>
      </c>
      <c r="L649" t="s">
        <v>51</v>
      </c>
    </row>
    <row r="650" spans="1:12">
      <c r="A650" t="s">
        <v>1124</v>
      </c>
      <c r="B650" t="s">
        <v>22</v>
      </c>
      <c r="C650" t="s">
        <v>23</v>
      </c>
      <c r="D650" t="s">
        <v>302</v>
      </c>
      <c r="E650" t="s">
        <v>25</v>
      </c>
      <c r="F650" t="s">
        <v>94</v>
      </c>
      <c r="G650" t="s">
        <v>61</v>
      </c>
      <c r="H650" t="s">
        <v>90</v>
      </c>
      <c r="I650">
        <v>7</v>
      </c>
      <c r="J650">
        <v>24179</v>
      </c>
      <c r="K650">
        <v>0.1</v>
      </c>
      <c r="L650" t="s">
        <v>57</v>
      </c>
    </row>
    <row r="651" spans="1:12">
      <c r="A651" t="s">
        <v>1125</v>
      </c>
      <c r="B651" t="s">
        <v>344</v>
      </c>
      <c r="C651" t="s">
        <v>46</v>
      </c>
      <c r="D651" t="s">
        <v>24</v>
      </c>
      <c r="E651" t="s">
        <v>33</v>
      </c>
      <c r="F651" t="s">
        <v>48</v>
      </c>
      <c r="G651" t="s">
        <v>49</v>
      </c>
      <c r="H651" t="s">
        <v>50</v>
      </c>
      <c r="I651">
        <v>1</v>
      </c>
      <c r="J651">
        <v>5154</v>
      </c>
      <c r="K651">
        <v>0</v>
      </c>
      <c r="L651" t="s">
        <v>36</v>
      </c>
    </row>
  </sheetData>
  <autoFilter xmlns:etc="http://www.wps.cn/officeDocument/2017/etCustomData" ref="A1:L65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51"/>
  <sheetViews>
    <sheetView workbookViewId="0">
      <pane ySplit="1" topLeftCell="A7" activePane="bottomLeft" state="frozen"/>
      <selection/>
      <selection pane="bottomLeft" activeCell="A1" sqref="A1"/>
    </sheetView>
  </sheetViews>
  <sheetFormatPr defaultColWidth="9" defaultRowHeight="14.4"/>
  <cols>
    <col min="1" max="4" width="18" customWidth="1"/>
    <col min="5" max="5" width="15" customWidth="1"/>
    <col min="6" max="8" width="18" customWidth="1"/>
    <col min="9" max="11" width="15" customWidth="1"/>
    <col min="12" max="12" width="18" customWidth="1"/>
    <col min="13" max="18" width="15" customWidth="1"/>
    <col min="19" max="20" width="18" customWidth="1"/>
  </cols>
  <sheetData>
    <row r="1" ht="28.8" spans="1:20">
      <c r="A1" s="11" t="s">
        <v>9</v>
      </c>
      <c r="B1" s="11" t="s">
        <v>10</v>
      </c>
      <c r="C1" s="11" t="s">
        <v>11</v>
      </c>
      <c r="D1" s="11" t="s">
        <v>12</v>
      </c>
      <c r="E1" s="11" t="s">
        <v>13</v>
      </c>
      <c r="F1" s="11" t="s">
        <v>14</v>
      </c>
      <c r="G1" s="11" t="s">
        <v>15</v>
      </c>
      <c r="H1" s="11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1126</v>
      </c>
      <c r="N1" s="11" t="s">
        <v>1127</v>
      </c>
      <c r="O1" s="11" t="s">
        <v>1128</v>
      </c>
      <c r="P1" s="11" t="s">
        <v>1129</v>
      </c>
      <c r="Q1" s="11" t="s">
        <v>1130</v>
      </c>
      <c r="R1" s="11" t="s">
        <v>1131</v>
      </c>
      <c r="S1" s="11" t="s">
        <v>1132</v>
      </c>
      <c r="T1" s="11" t="s">
        <v>1133</v>
      </c>
    </row>
    <row r="2" spans="1:20">
      <c r="A2" t="str">
        <f>TRIM(Raw_Data!A2)</f>
        <v>ORD-10001</v>
      </c>
      <c r="B2" s="12">
        <f>IFERROR(IF(ISNUMBER(Raw_Data!B2),Raw_Data!B2,DATEVALUE(Raw_Data!B2)),"")</f>
        <v>46186</v>
      </c>
      <c r="C2" t="str">
        <f>PROPER(TRIM(Raw_Data!C2))</f>
        <v>Ravi</v>
      </c>
      <c r="D2" t="str">
        <f>IF(TRIM(Raw_Data!D2)="Bangalore","Bengaluru",IF(TRIM(Raw_Data!D2)="Mysore","Mysuru",IF(TRIM(Raw_Data!D2)="Cochin","Kochi",PROPER(TRIM(Raw_Data!D2)))))</f>
        <v>Mumbai</v>
      </c>
      <c r="E2" t="str">
        <f>PROPER(TRIM(Raw_Data!E2))</f>
        <v>Online</v>
      </c>
      <c r="F2" t="str">
        <f>PROPER(TRIM(Raw_Data!F2))</f>
        <v>Consumer</v>
      </c>
      <c r="G2" t="str">
        <f>PROPER(TRIM(Raw_Data!G2))</f>
        <v>Laptop</v>
      </c>
      <c r="H2" t="str">
        <f>PROPER(TRIM(Raw_Data!H2))</f>
        <v>Laptop Pro 14</v>
      </c>
      <c r="I2">
        <f>IFERROR(MAX(0,VALUE(Raw_Data!I2)),0)</f>
        <v>0</v>
      </c>
      <c r="J2" s="13">
        <f>IFERROR(VALUE(Raw_Data!J2),0)</f>
        <v>61049</v>
      </c>
      <c r="K2" s="14">
        <f>IFERROR(VALUE(Raw_Data!K2),0)</f>
        <v>0.1</v>
      </c>
      <c r="L2" t="str">
        <f>PROPER(TRIM(Raw_Data!L2))</f>
        <v>Pending</v>
      </c>
      <c r="M2" s="13">
        <f t="shared" ref="M2:M65" si="0">I2*J2</f>
        <v>0</v>
      </c>
      <c r="N2" s="13">
        <f t="shared" ref="N2:N65" si="1">M2*K2</f>
        <v>0</v>
      </c>
      <c r="O2" s="13">
        <f t="shared" ref="O2:O65" si="2">M2-N2</f>
        <v>0</v>
      </c>
      <c r="P2" s="13">
        <f t="shared" ref="P2:P65" si="3">M2*IF(G2="Laptop",0.78,IF(G2="Monitor",0.7,IF(G2="Keyboard",0.58,IF(G2="Mouse",0.55,0.6))))</f>
        <v>0</v>
      </c>
      <c r="Q2" s="13">
        <f t="shared" ref="Q2:Q65" si="4">O2-P2</f>
        <v>0</v>
      </c>
      <c r="R2" s="10">
        <f t="shared" ref="R2:R65" si="5">IFERROR(Q2/O2,0)</f>
        <v>0</v>
      </c>
      <c r="S2" t="str">
        <f t="shared" ref="S2:S65" si="6">IF(B2="","",TEXT(B2,"mmm-yyyy"))</f>
        <v>Jun-2026</v>
      </c>
      <c r="T2" t="str">
        <f t="shared" ref="T2:T65" si="7">IF(OR(A2="",B2="",I2&lt;=0,J2&lt;=0,L2=""),"CHECK","OK")</f>
        <v>CHECK</v>
      </c>
    </row>
    <row r="3" spans="1:20">
      <c r="A3" t="str">
        <f>TRIM(Raw_Data!A3)</f>
        <v>ORD-10002</v>
      </c>
      <c r="B3" s="12">
        <f>IFERROR(IF(ISNUMBER(Raw_Data!B3),Raw_Data!B3,DATEVALUE(Raw_Data!B3)),"")</f>
        <v>46218</v>
      </c>
      <c r="C3" t="str">
        <f>PROPER(TRIM(Raw_Data!C3))</f>
        <v>Ravi</v>
      </c>
      <c r="D3" t="str">
        <f>IF(TRIM(Raw_Data!D3)="Bangalore","Bengaluru",IF(TRIM(Raw_Data!D3)="Mysore","Mysuru",IF(TRIM(Raw_Data!D3)="Cochin","Kochi",PROPER(TRIM(Raw_Data!D3)))))</f>
        <v>Chennai</v>
      </c>
      <c r="E3" t="str">
        <f>PROPER(TRIM(Raw_Data!E3))</f>
        <v>Corporate</v>
      </c>
      <c r="F3" t="str">
        <f>PROPER(TRIM(Raw_Data!F3))</f>
        <v>Consumer</v>
      </c>
      <c r="G3" t="str">
        <f>PROPER(TRIM(Raw_Data!G3))</f>
        <v>Keyboard</v>
      </c>
      <c r="H3" t="str">
        <f>PROPER(TRIM(Raw_Data!H3))</f>
        <v>Keyboard Wireless</v>
      </c>
      <c r="I3">
        <f>IFERROR(MAX(0,VALUE(Raw_Data!I3)),0)</f>
        <v>5</v>
      </c>
      <c r="J3" s="13">
        <f>IFERROR(VALUE(Raw_Data!J3),0)</f>
        <v>4140</v>
      </c>
      <c r="K3" s="14">
        <f>IFERROR(VALUE(Raw_Data!K3),0)</f>
        <v>0</v>
      </c>
      <c r="L3" t="str">
        <f>PROPER(TRIM(Raw_Data!L3))</f>
        <v>Returned</v>
      </c>
      <c r="M3" s="13">
        <f t="shared" si="0"/>
        <v>20700</v>
      </c>
      <c r="N3" s="13">
        <f t="shared" si="1"/>
        <v>0</v>
      </c>
      <c r="O3" s="13">
        <f t="shared" si="2"/>
        <v>20700</v>
      </c>
      <c r="P3" s="13">
        <f t="shared" si="3"/>
        <v>12006</v>
      </c>
      <c r="Q3" s="13">
        <f t="shared" si="4"/>
        <v>8694</v>
      </c>
      <c r="R3" s="10">
        <f t="shared" si="5"/>
        <v>0.42</v>
      </c>
      <c r="S3" t="str">
        <f t="shared" si="6"/>
        <v>Jul-2026</v>
      </c>
      <c r="T3" t="str">
        <f t="shared" si="7"/>
        <v>OK</v>
      </c>
    </row>
    <row r="4" spans="1:20">
      <c r="A4" t="str">
        <f>TRIM(Raw_Data!A4)</f>
        <v>ORD-10003</v>
      </c>
      <c r="B4" s="12">
        <f>IFERROR(IF(ISNUMBER(Raw_Data!B4),Raw_Data!B4,DATEVALUE(Raw_Data!B4)),"")</f>
        <v>46048</v>
      </c>
      <c r="C4" t="str">
        <f>PROPER(TRIM(Raw_Data!C4))</f>
        <v>Priya</v>
      </c>
      <c r="D4" t="str">
        <f>IF(TRIM(Raw_Data!D4)="Bangalore","Bengaluru",IF(TRIM(Raw_Data!D4)="Mysore","Mysuru",IF(TRIM(Raw_Data!D4)="Cochin","Kochi",PROPER(TRIM(Raw_Data!D4)))))</f>
        <v>Mysuru</v>
      </c>
      <c r="E4" t="str">
        <f>PROPER(TRIM(Raw_Data!E4))</f>
        <v>Retail Store</v>
      </c>
      <c r="F4" t="str">
        <f>PROPER(TRIM(Raw_Data!F4))</f>
        <v>Consumer</v>
      </c>
      <c r="G4" t="str">
        <f>PROPER(TRIM(Raw_Data!G4))</f>
        <v>Mouse</v>
      </c>
      <c r="H4" t="str">
        <f>PROPER(TRIM(Raw_Data!H4))</f>
        <v>Mouse Ergonomic</v>
      </c>
      <c r="I4">
        <f>IFERROR(MAX(0,VALUE(Raw_Data!I4)),0)</f>
        <v>5</v>
      </c>
      <c r="J4" s="13">
        <f>IFERROR(VALUE(Raw_Data!J4),0)</f>
        <v>2155</v>
      </c>
      <c r="K4" s="14">
        <f>IFERROR(VALUE(Raw_Data!K4),0)</f>
        <v>0.15</v>
      </c>
      <c r="L4" t="str">
        <f>PROPER(TRIM(Raw_Data!L4))</f>
        <v>Returned</v>
      </c>
      <c r="M4" s="13">
        <f t="shared" si="0"/>
        <v>10775</v>
      </c>
      <c r="N4" s="13">
        <f t="shared" si="1"/>
        <v>1616.25</v>
      </c>
      <c r="O4" s="13">
        <f t="shared" si="2"/>
        <v>9158.75</v>
      </c>
      <c r="P4" s="13">
        <f t="shared" si="3"/>
        <v>5926.25</v>
      </c>
      <c r="Q4" s="13">
        <f t="shared" si="4"/>
        <v>3232.5</v>
      </c>
      <c r="R4" s="10">
        <f t="shared" si="5"/>
        <v>0.352941176470588</v>
      </c>
      <c r="S4" t="str">
        <f t="shared" si="6"/>
        <v>Jan-2026</v>
      </c>
      <c r="T4" t="str">
        <f t="shared" si="7"/>
        <v>OK</v>
      </c>
    </row>
    <row r="5" spans="1:20">
      <c r="A5" t="str">
        <f>TRIM(Raw_Data!A5)</f>
        <v>ORD-10004</v>
      </c>
      <c r="B5" s="12">
        <f>IFERROR(IF(ISNUMBER(Raw_Data!B5),Raw_Data!B5,DATEVALUE(Raw_Data!B5)),"")</f>
        <v>46077</v>
      </c>
      <c r="C5" t="str">
        <f>PROPER(TRIM(Raw_Data!C5))</f>
        <v>Bhoomika</v>
      </c>
      <c r="D5" t="str">
        <f>IF(TRIM(Raw_Data!D5)="Bangalore","Bengaluru",IF(TRIM(Raw_Data!D5)="Mysore","Mysuru",IF(TRIM(Raw_Data!D5)="Cochin","Kochi",PROPER(TRIM(Raw_Data!D5)))))</f>
        <v>Delhi</v>
      </c>
      <c r="E5" t="str">
        <f>PROPER(TRIM(Raw_Data!E5))</f>
        <v>Corporate</v>
      </c>
      <c r="F5" t="str">
        <f>PROPER(TRIM(Raw_Data!F5))</f>
        <v>Smb</v>
      </c>
      <c r="G5" t="str">
        <f>PROPER(TRIM(Raw_Data!G5))</f>
        <v>Headset</v>
      </c>
      <c r="H5" t="str">
        <f>PROPER(TRIM(Raw_Data!H5))</f>
        <v>Headset Office</v>
      </c>
      <c r="I5">
        <f>IFERROR(MAX(0,VALUE(Raw_Data!I5)),0)</f>
        <v>3</v>
      </c>
      <c r="J5" s="13">
        <f>IFERROR(VALUE(Raw_Data!J5),0)</f>
        <v>5258</v>
      </c>
      <c r="K5" s="14">
        <f>IFERROR(VALUE(Raw_Data!K5),0)</f>
        <v>0.05</v>
      </c>
      <c r="L5" t="str">
        <f>PROPER(TRIM(Raw_Data!L5))</f>
        <v>Delivered</v>
      </c>
      <c r="M5" s="13">
        <f t="shared" si="0"/>
        <v>15774</v>
      </c>
      <c r="N5" s="13">
        <f t="shared" si="1"/>
        <v>788.7</v>
      </c>
      <c r="O5" s="13">
        <f t="shared" si="2"/>
        <v>14985.3</v>
      </c>
      <c r="P5" s="13">
        <f t="shared" si="3"/>
        <v>9464.4</v>
      </c>
      <c r="Q5" s="13">
        <f t="shared" si="4"/>
        <v>5520.9</v>
      </c>
      <c r="R5" s="10">
        <f t="shared" si="5"/>
        <v>0.368421052631579</v>
      </c>
      <c r="S5" t="str">
        <f t="shared" si="6"/>
        <v>Feb-2026</v>
      </c>
      <c r="T5" t="str">
        <f t="shared" si="7"/>
        <v>OK</v>
      </c>
    </row>
    <row r="6" spans="1:20">
      <c r="A6" t="str">
        <f>TRIM(Raw_Data!A6)</f>
        <v>ORD-10005</v>
      </c>
      <c r="B6" s="12">
        <f>IFERROR(IF(ISNUMBER(Raw_Data!B6),Raw_Data!B6,DATEVALUE(Raw_Data!B6)),"")</f>
        <v>46039</v>
      </c>
      <c r="C6" t="str">
        <f>PROPER(TRIM(Raw_Data!C6))</f>
        <v>Arjun</v>
      </c>
      <c r="D6" t="str">
        <f>IF(TRIM(Raw_Data!D6)="Bangalore","Bengaluru",IF(TRIM(Raw_Data!D6)="Mysore","Mysuru",IF(TRIM(Raw_Data!D6)="Cochin","Kochi",PROPER(TRIM(Raw_Data!D6)))))</f>
        <v>Mysuru</v>
      </c>
      <c r="E6" t="str">
        <f>PROPER(TRIM(Raw_Data!E6))</f>
        <v>Retail Store</v>
      </c>
      <c r="F6" t="str">
        <f>PROPER(TRIM(Raw_Data!F6))</f>
        <v>Consumer</v>
      </c>
      <c r="G6" t="str">
        <f>PROPER(TRIM(Raw_Data!G6))</f>
        <v>Mouse</v>
      </c>
      <c r="H6" t="str">
        <f>PROPER(TRIM(Raw_Data!H6))</f>
        <v>Mouse Ergonomic</v>
      </c>
      <c r="I6">
        <f>IFERROR(MAX(0,VALUE(Raw_Data!I6)),0)</f>
        <v>2</v>
      </c>
      <c r="J6" s="13">
        <f>IFERROR(VALUE(Raw_Data!J6),0)</f>
        <v>3486</v>
      </c>
      <c r="K6" s="14">
        <f>IFERROR(VALUE(Raw_Data!K6),0)</f>
        <v>0.15</v>
      </c>
      <c r="L6" t="str">
        <f>PROPER(TRIM(Raw_Data!L6))</f>
        <v>Cancelled</v>
      </c>
      <c r="M6" s="13">
        <f t="shared" si="0"/>
        <v>6972</v>
      </c>
      <c r="N6" s="13">
        <f t="shared" si="1"/>
        <v>1045.8</v>
      </c>
      <c r="O6" s="13">
        <f t="shared" si="2"/>
        <v>5926.2</v>
      </c>
      <c r="P6" s="13">
        <f t="shared" si="3"/>
        <v>3834.6</v>
      </c>
      <c r="Q6" s="13">
        <f t="shared" si="4"/>
        <v>2091.6</v>
      </c>
      <c r="R6" s="10">
        <f t="shared" si="5"/>
        <v>0.352941176470588</v>
      </c>
      <c r="S6" t="str">
        <f t="shared" si="6"/>
        <v>Jan-2026</v>
      </c>
      <c r="T6" t="str">
        <f t="shared" si="7"/>
        <v>OK</v>
      </c>
    </row>
    <row r="7" spans="1:20">
      <c r="A7" t="str">
        <f>TRIM(Raw_Data!A7)</f>
        <v>ORD-10006</v>
      </c>
      <c r="B7" s="12">
        <f>IFERROR(IF(ISNUMBER(Raw_Data!B7),Raw_Data!B7,DATEVALUE(Raw_Data!B7)),"")</f>
        <v>46073</v>
      </c>
      <c r="C7" t="str">
        <f>PROPER(TRIM(Raw_Data!C7))</f>
        <v>Bhoomika</v>
      </c>
      <c r="D7" t="str">
        <f>IF(TRIM(Raw_Data!D7)="Bangalore","Bengaluru",IF(TRIM(Raw_Data!D7)="Mysore","Mysuru",IF(TRIM(Raw_Data!D7)="Cochin","Kochi",PROPER(TRIM(Raw_Data!D7)))))</f>
        <v>Hyderabad</v>
      </c>
      <c r="E7" t="str">
        <f>PROPER(TRIM(Raw_Data!E7))</f>
        <v>Corporate</v>
      </c>
      <c r="F7" t="str">
        <f>PROPER(TRIM(Raw_Data!F7))</f>
        <v>Smb</v>
      </c>
      <c r="G7" t="str">
        <f>PROPER(TRIM(Raw_Data!G7))</f>
        <v>Monitor</v>
      </c>
      <c r="H7" t="str">
        <f>PROPER(TRIM(Raw_Data!H7))</f>
        <v>Monitor 27</v>
      </c>
      <c r="I7">
        <f>IFERROR(MAX(0,VALUE(Raw_Data!I7)),0)</f>
        <v>8</v>
      </c>
      <c r="J7" s="13">
        <f>IFERROR(VALUE(Raw_Data!J7),0)</f>
        <v>26378</v>
      </c>
      <c r="K7" s="14">
        <f>IFERROR(VALUE(Raw_Data!K7),0)</f>
        <v>0</v>
      </c>
      <c r="L7" t="str">
        <f>PROPER(TRIM(Raw_Data!L7))</f>
        <v>Delivered</v>
      </c>
      <c r="M7" s="13">
        <f t="shared" si="0"/>
        <v>211024</v>
      </c>
      <c r="N7" s="13">
        <f t="shared" si="1"/>
        <v>0</v>
      </c>
      <c r="O7" s="13">
        <f t="shared" si="2"/>
        <v>211024</v>
      </c>
      <c r="P7" s="13">
        <f t="shared" si="3"/>
        <v>147716.8</v>
      </c>
      <c r="Q7" s="13">
        <f t="shared" si="4"/>
        <v>63307.2</v>
      </c>
      <c r="R7" s="10">
        <f t="shared" si="5"/>
        <v>0.3</v>
      </c>
      <c r="S7" t="str">
        <f t="shared" si="6"/>
        <v>Feb-2026</v>
      </c>
      <c r="T7" t="str">
        <f t="shared" si="7"/>
        <v>OK</v>
      </c>
    </row>
    <row r="8" spans="1:20">
      <c r="A8" t="str">
        <f>TRIM(Raw_Data!A8)</f>
        <v>ORD-10007</v>
      </c>
      <c r="B8" s="12">
        <f>IFERROR(IF(ISNUMBER(Raw_Data!B8),Raw_Data!B8,DATEVALUE(Raw_Data!B8)),"")</f>
        <v>46178</v>
      </c>
      <c r="C8" t="str">
        <f>PROPER(TRIM(Raw_Data!C8))</f>
        <v>Arjun</v>
      </c>
      <c r="D8" t="str">
        <f>IF(TRIM(Raw_Data!D8)="Bangalore","Bengaluru",IF(TRIM(Raw_Data!D8)="Mysore","Mysuru",IF(TRIM(Raw_Data!D8)="Cochin","Kochi",PROPER(TRIM(Raw_Data!D8)))))</f>
        <v>Pune</v>
      </c>
      <c r="E8" t="str">
        <f>PROPER(TRIM(Raw_Data!E8))</f>
        <v>Corporate</v>
      </c>
      <c r="F8" t="str">
        <f>PROPER(TRIM(Raw_Data!F8))</f>
        <v>Smb</v>
      </c>
      <c r="G8" t="str">
        <f>PROPER(TRIM(Raw_Data!G8))</f>
        <v>Mouse</v>
      </c>
      <c r="H8" t="str">
        <f>PROPER(TRIM(Raw_Data!H8))</f>
        <v>Mouse Wireless</v>
      </c>
      <c r="I8">
        <f>IFERROR(MAX(0,VALUE(Raw_Data!I8)),0)</f>
        <v>8</v>
      </c>
      <c r="J8" s="13">
        <f>IFERROR(VALUE(Raw_Data!J8),0)</f>
        <v>2494</v>
      </c>
      <c r="K8" s="14">
        <f>IFERROR(VALUE(Raw_Data!K8),0)</f>
        <v>0</v>
      </c>
      <c r="L8" t="str">
        <f>PROPER(TRIM(Raw_Data!L8))</f>
        <v>Delivered</v>
      </c>
      <c r="M8" s="13">
        <f t="shared" si="0"/>
        <v>19952</v>
      </c>
      <c r="N8" s="13">
        <f t="shared" si="1"/>
        <v>0</v>
      </c>
      <c r="O8" s="13">
        <f t="shared" si="2"/>
        <v>19952</v>
      </c>
      <c r="P8" s="13">
        <f t="shared" si="3"/>
        <v>10973.6</v>
      </c>
      <c r="Q8" s="13">
        <f t="shared" si="4"/>
        <v>8978.4</v>
      </c>
      <c r="R8" s="10">
        <f t="shared" si="5"/>
        <v>0.45</v>
      </c>
      <c r="S8" t="str">
        <f t="shared" si="6"/>
        <v>Jun-2026</v>
      </c>
      <c r="T8" t="str">
        <f t="shared" si="7"/>
        <v>OK</v>
      </c>
    </row>
    <row r="9" spans="1:20">
      <c r="A9" t="str">
        <f>TRIM(Raw_Data!A9)</f>
        <v>ORD-10008</v>
      </c>
      <c r="B9" s="12">
        <f>IFERROR(IF(ISNUMBER(Raw_Data!B9),Raw_Data!B9,DATEVALUE(Raw_Data!B9)),"")</f>
        <v>46056</v>
      </c>
      <c r="C9" t="str">
        <f>PROPER(TRIM(Raw_Data!C9))</f>
        <v>Kiran</v>
      </c>
      <c r="D9" t="str">
        <f>IF(TRIM(Raw_Data!D9)="Bangalore","Bengaluru",IF(TRIM(Raw_Data!D9)="Mysore","Mysuru",IF(TRIM(Raw_Data!D9)="Cochin","Kochi",PROPER(TRIM(Raw_Data!D9)))))</f>
        <v>Mysuru</v>
      </c>
      <c r="E9" t="str">
        <f>PROPER(TRIM(Raw_Data!E9))</f>
        <v>Corporate</v>
      </c>
      <c r="F9" t="str">
        <f>PROPER(TRIM(Raw_Data!F9))</f>
        <v>Consumer</v>
      </c>
      <c r="G9" t="str">
        <f>PROPER(TRIM(Raw_Data!G9))</f>
        <v>Headset</v>
      </c>
      <c r="H9" t="str">
        <f>PROPER(TRIM(Raw_Data!H9))</f>
        <v>Headset Office</v>
      </c>
      <c r="I9">
        <f>IFERROR(MAX(0,VALUE(Raw_Data!I9)),0)</f>
        <v>2</v>
      </c>
      <c r="J9" s="13">
        <f>IFERROR(VALUE(Raw_Data!J9),0)</f>
        <v>2272</v>
      </c>
      <c r="K9" s="14">
        <f>IFERROR(VALUE(Raw_Data!K9),0)</f>
        <v>0.15</v>
      </c>
      <c r="L9" t="str">
        <f>PROPER(TRIM(Raw_Data!L9))</f>
        <v>Pending</v>
      </c>
      <c r="M9" s="13">
        <f t="shared" si="0"/>
        <v>4544</v>
      </c>
      <c r="N9" s="13">
        <f t="shared" si="1"/>
        <v>681.6</v>
      </c>
      <c r="O9" s="13">
        <f t="shared" si="2"/>
        <v>3862.4</v>
      </c>
      <c r="P9" s="13">
        <f t="shared" si="3"/>
        <v>2726.4</v>
      </c>
      <c r="Q9" s="13">
        <f t="shared" si="4"/>
        <v>1136</v>
      </c>
      <c r="R9" s="10">
        <f t="shared" si="5"/>
        <v>0.294117647058824</v>
      </c>
      <c r="S9" t="str">
        <f t="shared" si="6"/>
        <v>Feb-2026</v>
      </c>
      <c r="T9" t="str">
        <f t="shared" si="7"/>
        <v>OK</v>
      </c>
    </row>
    <row r="10" spans="1:20">
      <c r="A10" t="str">
        <f>TRIM(Raw_Data!A10)</f>
        <v>ORD-10009</v>
      </c>
      <c r="B10" s="12">
        <f>IFERROR(IF(ISNUMBER(Raw_Data!B10),Raw_Data!B10,DATEVALUE(Raw_Data!B10)),"")</f>
        <v>46141</v>
      </c>
      <c r="C10" t="str">
        <f>PROPER(TRIM(Raw_Data!C10))</f>
        <v>Neha</v>
      </c>
      <c r="D10" t="str">
        <f>IF(TRIM(Raw_Data!D10)="Bangalore","Bengaluru",IF(TRIM(Raw_Data!D10)="Mysore","Mysuru",IF(TRIM(Raw_Data!D10)="Cochin","Kochi",PROPER(TRIM(Raw_Data!D10)))))</f>
        <v>Mysuru</v>
      </c>
      <c r="E10" t="str">
        <f>PROPER(TRIM(Raw_Data!E10))</f>
        <v>Online</v>
      </c>
      <c r="F10" t="str">
        <f>PROPER(TRIM(Raw_Data!F10))</f>
        <v>Smb</v>
      </c>
      <c r="G10" t="str">
        <f>PROPER(TRIM(Raw_Data!G10))</f>
        <v>Monitor</v>
      </c>
      <c r="H10" t="str">
        <f>PROPER(TRIM(Raw_Data!H10))</f>
        <v>Monitor 24</v>
      </c>
      <c r="I10">
        <f>IFERROR(MAX(0,VALUE(Raw_Data!I10)),0)</f>
        <v>1</v>
      </c>
      <c r="J10" s="13">
        <f>IFERROR(VALUE(Raw_Data!J10),0)</f>
        <v>12208</v>
      </c>
      <c r="K10" s="14">
        <f>IFERROR(VALUE(Raw_Data!K10),0)</f>
        <v>0</v>
      </c>
      <c r="L10" t="str">
        <f>PROPER(TRIM(Raw_Data!L10))</f>
        <v>Delivered</v>
      </c>
      <c r="M10" s="13">
        <f t="shared" si="0"/>
        <v>12208</v>
      </c>
      <c r="N10" s="13">
        <f t="shared" si="1"/>
        <v>0</v>
      </c>
      <c r="O10" s="13">
        <f t="shared" si="2"/>
        <v>12208</v>
      </c>
      <c r="P10" s="13">
        <f t="shared" si="3"/>
        <v>8545.6</v>
      </c>
      <c r="Q10" s="13">
        <f t="shared" si="4"/>
        <v>3662.4</v>
      </c>
      <c r="R10" s="10">
        <f t="shared" si="5"/>
        <v>0.3</v>
      </c>
      <c r="S10" t="str">
        <f t="shared" si="6"/>
        <v>Apr-2026</v>
      </c>
      <c r="T10" t="str">
        <f t="shared" si="7"/>
        <v>OK</v>
      </c>
    </row>
    <row r="11" spans="1:20">
      <c r="A11" t="str">
        <f>TRIM(Raw_Data!A11)</f>
        <v>ORD-10010</v>
      </c>
      <c r="B11" s="12">
        <f>IFERROR(IF(ISNUMBER(Raw_Data!B11),Raw_Data!B11,DATEVALUE(Raw_Data!B11)),"")</f>
        <v>46147</v>
      </c>
      <c r="C11" t="str">
        <f>PROPER(TRIM(Raw_Data!C11))</f>
        <v>Priya</v>
      </c>
      <c r="D11" t="str">
        <f>IF(TRIM(Raw_Data!D11)="Bangalore","Bengaluru",IF(TRIM(Raw_Data!D11)="Mysore","Mysuru",IF(TRIM(Raw_Data!D11)="Cochin","Kochi",PROPER(TRIM(Raw_Data!D11)))))</f>
        <v>Mumbai</v>
      </c>
      <c r="E11" t="str">
        <f>PROPER(TRIM(Raw_Data!E11))</f>
        <v>Online</v>
      </c>
      <c r="F11" t="str">
        <f>PROPER(TRIM(Raw_Data!F11))</f>
        <v>Smb</v>
      </c>
      <c r="G11" t="str">
        <f>PROPER(TRIM(Raw_Data!G11))</f>
        <v>Monitor</v>
      </c>
      <c r="H11" t="str">
        <f>PROPER(TRIM(Raw_Data!H11))</f>
        <v>Monitor 24</v>
      </c>
      <c r="I11">
        <f>IFERROR(MAX(0,VALUE(Raw_Data!I11)),0)</f>
        <v>1</v>
      </c>
      <c r="J11" s="13">
        <f>IFERROR(VALUE(Raw_Data!J11),0)</f>
        <v>10916</v>
      </c>
      <c r="K11" s="14">
        <f>IFERROR(VALUE(Raw_Data!K11),0)</f>
        <v>0.1</v>
      </c>
      <c r="L11" t="str">
        <f>PROPER(TRIM(Raw_Data!L11))</f>
        <v>Pending</v>
      </c>
      <c r="M11" s="13">
        <f t="shared" si="0"/>
        <v>10916</v>
      </c>
      <c r="N11" s="13">
        <f t="shared" si="1"/>
        <v>1091.6</v>
      </c>
      <c r="O11" s="13">
        <f t="shared" si="2"/>
        <v>9824.4</v>
      </c>
      <c r="P11" s="13">
        <f t="shared" si="3"/>
        <v>7641.2</v>
      </c>
      <c r="Q11" s="13">
        <f t="shared" si="4"/>
        <v>2183.2</v>
      </c>
      <c r="R11" s="10">
        <f t="shared" si="5"/>
        <v>0.222222222222222</v>
      </c>
      <c r="S11" t="str">
        <f t="shared" si="6"/>
        <v>May-2026</v>
      </c>
      <c r="T11" t="str">
        <f t="shared" si="7"/>
        <v>OK</v>
      </c>
    </row>
    <row r="12" spans="1:20">
      <c r="A12" t="str">
        <f>TRIM(Raw_Data!A12)</f>
        <v>ORD-10011</v>
      </c>
      <c r="B12" s="12">
        <f>IFERROR(IF(ISNUMBER(Raw_Data!B12),Raw_Data!B12,DATEVALUE(Raw_Data!B12)),"")</f>
        <v>46167</v>
      </c>
      <c r="C12" t="str">
        <f>PROPER(TRIM(Raw_Data!C12))</f>
        <v>Arjun</v>
      </c>
      <c r="D12" t="str">
        <f>IF(TRIM(Raw_Data!D12)="Bangalore","Bengaluru",IF(TRIM(Raw_Data!D12)="Mysore","Mysuru",IF(TRIM(Raw_Data!D12)="Cochin","Kochi",PROPER(TRIM(Raw_Data!D12)))))</f>
        <v>Mumbai</v>
      </c>
      <c r="E12" t="str">
        <f>PROPER(TRIM(Raw_Data!E12))</f>
        <v>Online</v>
      </c>
      <c r="F12" t="str">
        <f>PROPER(TRIM(Raw_Data!F12))</f>
        <v>Consumer</v>
      </c>
      <c r="G12" t="str">
        <f>PROPER(TRIM(Raw_Data!G12))</f>
        <v>Headset</v>
      </c>
      <c r="H12" t="str">
        <f>PROPER(TRIM(Raw_Data!H12))</f>
        <v>Headset Wireless</v>
      </c>
      <c r="I12">
        <f>IFERROR(MAX(0,VALUE(Raw_Data!I12)),0)</f>
        <v>3</v>
      </c>
      <c r="J12" s="13">
        <f>IFERROR(VALUE(Raw_Data!J12),0)</f>
        <v>4742</v>
      </c>
      <c r="K12" s="14">
        <f>IFERROR(VALUE(Raw_Data!K12),0)</f>
        <v>0.15</v>
      </c>
      <c r="L12" t="str">
        <f>PROPER(TRIM(Raw_Data!L12))</f>
        <v>Returned</v>
      </c>
      <c r="M12" s="13">
        <f t="shared" si="0"/>
        <v>14226</v>
      </c>
      <c r="N12" s="13">
        <f t="shared" si="1"/>
        <v>2133.9</v>
      </c>
      <c r="O12" s="13">
        <f t="shared" si="2"/>
        <v>12092.1</v>
      </c>
      <c r="P12" s="13">
        <f t="shared" si="3"/>
        <v>8535.6</v>
      </c>
      <c r="Q12" s="13">
        <f t="shared" si="4"/>
        <v>3556.5</v>
      </c>
      <c r="R12" s="10">
        <f t="shared" si="5"/>
        <v>0.294117647058824</v>
      </c>
      <c r="S12" t="str">
        <f t="shared" si="6"/>
        <v>May-2026</v>
      </c>
      <c r="T12" t="str">
        <f t="shared" si="7"/>
        <v>OK</v>
      </c>
    </row>
    <row r="13" spans="1:20">
      <c r="A13" t="str">
        <f>TRIM(Raw_Data!A13)</f>
        <v>ORD-10012</v>
      </c>
      <c r="B13" s="12">
        <f>IFERROR(IF(ISNUMBER(Raw_Data!B13),Raw_Data!B13,DATEVALUE(Raw_Data!B13)),"")</f>
        <v>46135</v>
      </c>
      <c r="C13" t="str">
        <f>PROPER(TRIM(Raw_Data!C13))</f>
        <v>Priya</v>
      </c>
      <c r="D13" t="str">
        <f>IF(TRIM(Raw_Data!D13)="Bangalore","Bengaluru",IF(TRIM(Raw_Data!D13)="Mysore","Mysuru",IF(TRIM(Raw_Data!D13)="Cochin","Kochi",PROPER(TRIM(Raw_Data!D13)))))</f>
        <v>Mumbai</v>
      </c>
      <c r="E13" t="str">
        <f>PROPER(TRIM(Raw_Data!E13))</f>
        <v>Corporate</v>
      </c>
      <c r="F13" t="str">
        <f>PROPER(TRIM(Raw_Data!F13))</f>
        <v>Consumer</v>
      </c>
      <c r="G13" t="str">
        <f>PROPER(TRIM(Raw_Data!G13))</f>
        <v>Headset</v>
      </c>
      <c r="H13" t="str">
        <f>PROPER(TRIM(Raw_Data!H13))</f>
        <v>Headset Office</v>
      </c>
      <c r="I13">
        <f>IFERROR(MAX(0,VALUE(Raw_Data!I13)),0)</f>
        <v>3</v>
      </c>
      <c r="J13" s="13">
        <f>IFERROR(VALUE(Raw_Data!J13),0)</f>
        <v>2348</v>
      </c>
      <c r="K13" s="14">
        <f>IFERROR(VALUE(Raw_Data!K13),0)</f>
        <v>0.05</v>
      </c>
      <c r="L13" t="str">
        <f>PROPER(TRIM(Raw_Data!L13))</f>
        <v>Delivered</v>
      </c>
      <c r="M13" s="13">
        <f t="shared" si="0"/>
        <v>7044</v>
      </c>
      <c r="N13" s="13">
        <f t="shared" si="1"/>
        <v>352.2</v>
      </c>
      <c r="O13" s="13">
        <f t="shared" si="2"/>
        <v>6691.8</v>
      </c>
      <c r="P13" s="13">
        <f t="shared" si="3"/>
        <v>4226.4</v>
      </c>
      <c r="Q13" s="13">
        <f t="shared" si="4"/>
        <v>2465.4</v>
      </c>
      <c r="R13" s="10">
        <f t="shared" si="5"/>
        <v>0.368421052631579</v>
      </c>
      <c r="S13" t="str">
        <f t="shared" si="6"/>
        <v>Apr-2026</v>
      </c>
      <c r="T13" t="str">
        <f t="shared" si="7"/>
        <v>OK</v>
      </c>
    </row>
    <row r="14" spans="1:20">
      <c r="A14" t="str">
        <f>TRIM(Raw_Data!A14)</f>
        <v>ORD-10013</v>
      </c>
      <c r="B14" s="12">
        <f>IFERROR(IF(ISNUMBER(Raw_Data!B14),Raw_Data!B14,DATEVALUE(Raw_Data!B14)),"")</f>
        <v>46108</v>
      </c>
      <c r="C14" t="str">
        <f>PROPER(TRIM(Raw_Data!C14))</f>
        <v>Asha</v>
      </c>
      <c r="D14" t="str">
        <f>IF(TRIM(Raw_Data!D14)="Bangalore","Bengaluru",IF(TRIM(Raw_Data!D14)="Mysore","Mysuru",IF(TRIM(Raw_Data!D14)="Cochin","Kochi",PROPER(TRIM(Raw_Data!D14)))))</f>
        <v>Mumbai</v>
      </c>
      <c r="E14" t="str">
        <f>PROPER(TRIM(Raw_Data!E14))</f>
        <v>Online</v>
      </c>
      <c r="F14" t="str">
        <f>PROPER(TRIM(Raw_Data!F14))</f>
        <v>Smb</v>
      </c>
      <c r="G14" t="str">
        <f>PROPER(TRIM(Raw_Data!G14))</f>
        <v>Monitor</v>
      </c>
      <c r="H14" t="str">
        <f>PROPER(TRIM(Raw_Data!H14))</f>
        <v>Monitor 32</v>
      </c>
      <c r="I14">
        <f>IFERROR(MAX(0,VALUE(Raw_Data!I14)),0)</f>
        <v>2</v>
      </c>
      <c r="J14" s="13">
        <f>IFERROR(VALUE(Raw_Data!J14),0)</f>
        <v>23478</v>
      </c>
      <c r="K14" s="14">
        <f>IFERROR(VALUE(Raw_Data!K14),0)</f>
        <v>0</v>
      </c>
      <c r="L14" t="str">
        <f>PROPER(TRIM(Raw_Data!L14))</f>
        <v>Returned</v>
      </c>
      <c r="M14" s="13">
        <f t="shared" si="0"/>
        <v>46956</v>
      </c>
      <c r="N14" s="13">
        <f t="shared" si="1"/>
        <v>0</v>
      </c>
      <c r="O14" s="13">
        <f t="shared" si="2"/>
        <v>46956</v>
      </c>
      <c r="P14" s="13">
        <f t="shared" si="3"/>
        <v>32869.2</v>
      </c>
      <c r="Q14" s="13">
        <f t="shared" si="4"/>
        <v>14086.8</v>
      </c>
      <c r="R14" s="10">
        <f t="shared" si="5"/>
        <v>0.3</v>
      </c>
      <c r="S14" t="str">
        <f t="shared" si="6"/>
        <v>Mar-2026</v>
      </c>
      <c r="T14" t="str">
        <f t="shared" si="7"/>
        <v>OK</v>
      </c>
    </row>
    <row r="15" spans="1:20">
      <c r="A15" t="str">
        <f>TRIM(Raw_Data!A15)</f>
        <v>ORD-10014</v>
      </c>
      <c r="B15" s="12">
        <f>IFERROR(IF(ISNUMBER(Raw_Data!B15),Raw_Data!B15,DATEVALUE(Raw_Data!B15)),"")</f>
        <v>46181</v>
      </c>
      <c r="C15" t="str">
        <f>PROPER(TRIM(Raw_Data!C15))</f>
        <v>Bhoomika</v>
      </c>
      <c r="D15" t="str">
        <f>IF(TRIM(Raw_Data!D15)="Bangalore","Bengaluru",IF(TRIM(Raw_Data!D15)="Mysore","Mysuru",IF(TRIM(Raw_Data!D15)="Cochin","Kochi",PROPER(TRIM(Raw_Data!D15)))))</f>
        <v>Hydrabad</v>
      </c>
      <c r="E15" t="str">
        <f>PROPER(TRIM(Raw_Data!E15))</f>
        <v>Retail Store</v>
      </c>
      <c r="F15" t="str">
        <f>PROPER(TRIM(Raw_Data!F15))</f>
        <v>Enterprise</v>
      </c>
      <c r="G15" t="str">
        <f>PROPER(TRIM(Raw_Data!G15))</f>
        <v>Monitor</v>
      </c>
      <c r="H15" t="str">
        <f>PROPER(TRIM(Raw_Data!H15))</f>
        <v>Monitor 24</v>
      </c>
      <c r="I15">
        <f>IFERROR(MAX(0,VALUE(Raw_Data!I15)),0)</f>
        <v>7</v>
      </c>
      <c r="J15" s="13">
        <f>IFERROR(VALUE(Raw_Data!J15),0)</f>
        <v>22510</v>
      </c>
      <c r="K15" s="14">
        <f>IFERROR(VALUE(Raw_Data!K15),0)</f>
        <v>0.15</v>
      </c>
      <c r="L15" t="str">
        <f>PROPER(TRIM(Raw_Data!L15))</f>
        <v>Returned</v>
      </c>
      <c r="M15" s="13">
        <f t="shared" si="0"/>
        <v>157570</v>
      </c>
      <c r="N15" s="13">
        <f t="shared" si="1"/>
        <v>23635.5</v>
      </c>
      <c r="O15" s="13">
        <f t="shared" si="2"/>
        <v>133934.5</v>
      </c>
      <c r="P15" s="13">
        <f t="shared" si="3"/>
        <v>110299</v>
      </c>
      <c r="Q15" s="13">
        <f t="shared" si="4"/>
        <v>23635.5</v>
      </c>
      <c r="R15" s="10">
        <f t="shared" si="5"/>
        <v>0.176470588235294</v>
      </c>
      <c r="S15" t="str">
        <f t="shared" si="6"/>
        <v>Jun-2026</v>
      </c>
      <c r="T15" t="str">
        <f t="shared" si="7"/>
        <v>OK</v>
      </c>
    </row>
    <row r="16" spans="1:20">
      <c r="A16" t="str">
        <f>TRIM(Raw_Data!A16)</f>
        <v>ORD-10015</v>
      </c>
      <c r="B16" s="12">
        <f>IFERROR(IF(ISNUMBER(Raw_Data!B16),Raw_Data!B16,DATEVALUE(Raw_Data!B16)),"")</f>
        <v>46040</v>
      </c>
      <c r="C16" t="str">
        <f>PROPER(TRIM(Raw_Data!C16))</f>
        <v>Kiran</v>
      </c>
      <c r="D16" t="str">
        <f>IF(TRIM(Raw_Data!D16)="Bangalore","Bengaluru",IF(TRIM(Raw_Data!D16)="Mysore","Mysuru",IF(TRIM(Raw_Data!D16)="Cochin","Kochi",PROPER(TRIM(Raw_Data!D16)))))</f>
        <v>Kochi</v>
      </c>
      <c r="E16" t="str">
        <f>PROPER(TRIM(Raw_Data!E16))</f>
        <v>Retail Store</v>
      </c>
      <c r="F16" t="str">
        <f>PROPER(TRIM(Raw_Data!F16))</f>
        <v>Consumer</v>
      </c>
      <c r="G16" t="str">
        <f>PROPER(TRIM(Raw_Data!G16))</f>
        <v>Keyboard</v>
      </c>
      <c r="H16" t="str">
        <f>PROPER(TRIM(Raw_Data!H16))</f>
        <v>Keyboard Mechanical</v>
      </c>
      <c r="I16">
        <f>IFERROR(MAX(0,VALUE(Raw_Data!I16)),0)</f>
        <v>0</v>
      </c>
      <c r="J16" s="13">
        <f>IFERROR(VALUE(Raw_Data!J16),0)</f>
        <v>1426</v>
      </c>
      <c r="K16" s="14">
        <f>IFERROR(VALUE(Raw_Data!K16),0)</f>
        <v>0.1</v>
      </c>
      <c r="L16" t="str">
        <f>PROPER(TRIM(Raw_Data!L16))</f>
        <v>Delivered</v>
      </c>
      <c r="M16" s="13">
        <f t="shared" si="0"/>
        <v>0</v>
      </c>
      <c r="N16" s="13">
        <f t="shared" si="1"/>
        <v>0</v>
      </c>
      <c r="O16" s="13">
        <f t="shared" si="2"/>
        <v>0</v>
      </c>
      <c r="P16" s="13">
        <f t="shared" si="3"/>
        <v>0</v>
      </c>
      <c r="Q16" s="13">
        <f t="shared" si="4"/>
        <v>0</v>
      </c>
      <c r="R16" s="10">
        <f t="shared" si="5"/>
        <v>0</v>
      </c>
      <c r="S16" t="str">
        <f t="shared" si="6"/>
        <v>Jan-2026</v>
      </c>
      <c r="T16" t="str">
        <f t="shared" si="7"/>
        <v>CHECK</v>
      </c>
    </row>
    <row r="17" spans="1:20">
      <c r="A17" t="str">
        <f>TRIM(Raw_Data!A17)</f>
        <v>ORD-10016</v>
      </c>
      <c r="B17" s="12">
        <f>IFERROR(IF(ISNUMBER(Raw_Data!B17),Raw_Data!B17,DATEVALUE(Raw_Data!B17)),"")</f>
        <v>46212</v>
      </c>
      <c r="C17" t="str">
        <f>PROPER(TRIM(Raw_Data!C17))</f>
        <v>Arjun</v>
      </c>
      <c r="D17" t="str">
        <f>IF(TRIM(Raw_Data!D17)="Bangalore","Bengaluru",IF(TRIM(Raw_Data!D17)="Mysore","Mysuru",IF(TRIM(Raw_Data!D17)="Cochin","Kochi",PROPER(TRIM(Raw_Data!D17)))))</f>
        <v>Kochi</v>
      </c>
      <c r="E17" t="str">
        <f>PROPER(TRIM(Raw_Data!E17))</f>
        <v>Online</v>
      </c>
      <c r="F17" t="str">
        <f>PROPER(TRIM(Raw_Data!F17))</f>
        <v>Consumer</v>
      </c>
      <c r="G17" t="str">
        <f>PROPER(TRIM(Raw_Data!G17))</f>
        <v>Monitor</v>
      </c>
      <c r="H17" t="str">
        <f>PROPER(TRIM(Raw_Data!H17))</f>
        <v>Monitor 27</v>
      </c>
      <c r="I17">
        <f>IFERROR(MAX(0,VALUE(Raw_Data!I17)),0)</f>
        <v>0</v>
      </c>
      <c r="J17" s="13">
        <f>IFERROR(VALUE(Raw_Data!J17),0)</f>
        <v>19819</v>
      </c>
      <c r="K17" s="14">
        <f>IFERROR(VALUE(Raw_Data!K17),0)</f>
        <v>0.1</v>
      </c>
      <c r="L17" t="str">
        <f>PROPER(TRIM(Raw_Data!L17))</f>
        <v>Delivered</v>
      </c>
      <c r="M17" s="13">
        <f t="shared" si="0"/>
        <v>0</v>
      </c>
      <c r="N17" s="13">
        <f t="shared" si="1"/>
        <v>0</v>
      </c>
      <c r="O17" s="13">
        <f t="shared" si="2"/>
        <v>0</v>
      </c>
      <c r="P17" s="13">
        <f t="shared" si="3"/>
        <v>0</v>
      </c>
      <c r="Q17" s="13">
        <f t="shared" si="4"/>
        <v>0</v>
      </c>
      <c r="R17" s="10">
        <f t="shared" si="5"/>
        <v>0</v>
      </c>
      <c r="S17" t="str">
        <f t="shared" si="6"/>
        <v>Jul-2026</v>
      </c>
      <c r="T17" t="str">
        <f t="shared" si="7"/>
        <v>CHECK</v>
      </c>
    </row>
    <row r="18" spans="1:20">
      <c r="A18" t="str">
        <f>TRIM(Raw_Data!A18)</f>
        <v>ORD-10017</v>
      </c>
      <c r="B18" s="12">
        <f>IFERROR(IF(ISNUMBER(Raw_Data!B18),Raw_Data!B18,DATEVALUE(Raw_Data!B18)),"")</f>
        <v>46105</v>
      </c>
      <c r="C18" t="str">
        <f>PROPER(TRIM(Raw_Data!C18))</f>
        <v>Arjun</v>
      </c>
      <c r="D18" t="str">
        <f>IF(TRIM(Raw_Data!D18)="Bangalore","Bengaluru",IF(TRIM(Raw_Data!D18)="Mysore","Mysuru",IF(TRIM(Raw_Data!D18)="Cochin","Kochi",PROPER(TRIM(Raw_Data!D18)))))</f>
        <v>Mysuru</v>
      </c>
      <c r="E18" t="str">
        <f>PROPER(TRIM(Raw_Data!E18))</f>
        <v>Online</v>
      </c>
      <c r="F18" t="str">
        <f>PROPER(TRIM(Raw_Data!F18))</f>
        <v>Smb</v>
      </c>
      <c r="G18" t="str">
        <f>PROPER(TRIM(Raw_Data!G18))</f>
        <v>Mouse</v>
      </c>
      <c r="H18" t="str">
        <f>PROPER(TRIM(Raw_Data!H18))</f>
        <v>Mouse Ergonomic</v>
      </c>
      <c r="I18">
        <f>IFERROR(MAX(0,VALUE(Raw_Data!I18)),0)</f>
        <v>2</v>
      </c>
      <c r="J18" s="13">
        <f>IFERROR(VALUE(Raw_Data!J18),0)</f>
        <v>1395</v>
      </c>
      <c r="K18" s="14">
        <f>IFERROR(VALUE(Raw_Data!K18),0)</f>
        <v>0.05</v>
      </c>
      <c r="L18" t="str">
        <f>PROPER(TRIM(Raw_Data!L18))</f>
        <v>Cancelled</v>
      </c>
      <c r="M18" s="13">
        <f t="shared" si="0"/>
        <v>2790</v>
      </c>
      <c r="N18" s="13">
        <f t="shared" si="1"/>
        <v>139.5</v>
      </c>
      <c r="O18" s="13">
        <f t="shared" si="2"/>
        <v>2650.5</v>
      </c>
      <c r="P18" s="13">
        <f t="shared" si="3"/>
        <v>1534.5</v>
      </c>
      <c r="Q18" s="13">
        <f t="shared" si="4"/>
        <v>1116</v>
      </c>
      <c r="R18" s="10">
        <f t="shared" si="5"/>
        <v>0.421052631578947</v>
      </c>
      <c r="S18" t="str">
        <f t="shared" si="6"/>
        <v>Mar-2026</v>
      </c>
      <c r="T18" t="str">
        <f t="shared" si="7"/>
        <v>OK</v>
      </c>
    </row>
    <row r="19" spans="1:20">
      <c r="A19" t="str">
        <f>TRIM(Raw_Data!A19)</f>
        <v>ORD-10018</v>
      </c>
      <c r="B19" s="12">
        <f>IFERROR(IF(ISNUMBER(Raw_Data!B19),Raw_Data!B19,DATEVALUE(Raw_Data!B19)),"")</f>
        <v>46072</v>
      </c>
      <c r="C19" t="str">
        <f>PROPER(TRIM(Raw_Data!C19))</f>
        <v>Asha</v>
      </c>
      <c r="D19" t="str">
        <f>IF(TRIM(Raw_Data!D19)="Bangalore","Bengaluru",IF(TRIM(Raw_Data!D19)="Mysore","Mysuru",IF(TRIM(Raw_Data!D19)="Cochin","Kochi",PROPER(TRIM(Raw_Data!D19)))))</f>
        <v>Kochi</v>
      </c>
      <c r="E19" t="str">
        <f>PROPER(TRIM(Raw_Data!E19))</f>
        <v>Online</v>
      </c>
      <c r="F19" t="str">
        <f>PROPER(TRIM(Raw_Data!F19))</f>
        <v>Enterprise</v>
      </c>
      <c r="G19" t="str">
        <f>PROPER(TRIM(Raw_Data!G19))</f>
        <v>Mouse</v>
      </c>
      <c r="H19" t="str">
        <f>PROPER(TRIM(Raw_Data!H19))</f>
        <v>Mouse Ergonomic</v>
      </c>
      <c r="I19">
        <f>IFERROR(MAX(0,VALUE(Raw_Data!I19)),0)</f>
        <v>4</v>
      </c>
      <c r="J19" s="13">
        <f>IFERROR(VALUE(Raw_Data!J19),0)</f>
        <v>1136</v>
      </c>
      <c r="K19" s="14">
        <f>IFERROR(VALUE(Raw_Data!K19),0)</f>
        <v>0.02</v>
      </c>
      <c r="L19" t="str">
        <f>PROPER(TRIM(Raw_Data!L19))</f>
        <v>Returned</v>
      </c>
      <c r="M19" s="13">
        <f t="shared" si="0"/>
        <v>4544</v>
      </c>
      <c r="N19" s="13">
        <f t="shared" si="1"/>
        <v>90.88</v>
      </c>
      <c r="O19" s="13">
        <f t="shared" si="2"/>
        <v>4453.12</v>
      </c>
      <c r="P19" s="13">
        <f t="shared" si="3"/>
        <v>2499.2</v>
      </c>
      <c r="Q19" s="13">
        <f t="shared" si="4"/>
        <v>1953.92</v>
      </c>
      <c r="R19" s="10">
        <f t="shared" si="5"/>
        <v>0.438775510204082</v>
      </c>
      <c r="S19" t="str">
        <f t="shared" si="6"/>
        <v>Feb-2026</v>
      </c>
      <c r="T19" t="str">
        <f t="shared" si="7"/>
        <v>OK</v>
      </c>
    </row>
    <row r="20" spans="1:20">
      <c r="A20" t="str">
        <f>TRIM(Raw_Data!A20)</f>
        <v>ORD-10019</v>
      </c>
      <c r="B20" s="12">
        <f>IFERROR(IF(ISNUMBER(Raw_Data!B20),Raw_Data!B20,DATEVALUE(Raw_Data!B20)),"")</f>
        <v>46252</v>
      </c>
      <c r="C20" t="str">
        <f>PROPER(TRIM(Raw_Data!C20))</f>
        <v>Ravi</v>
      </c>
      <c r="D20" t="str">
        <f>IF(TRIM(Raw_Data!D20)="Bangalore","Bengaluru",IF(TRIM(Raw_Data!D20)="Mysore","Mysuru",IF(TRIM(Raw_Data!D20)="Cochin","Kochi",PROPER(TRIM(Raw_Data!D20)))))</f>
        <v>Mysuru</v>
      </c>
      <c r="E20" t="str">
        <f>PROPER(TRIM(Raw_Data!E20))</f>
        <v>Retail Store</v>
      </c>
      <c r="F20" t="str">
        <f>PROPER(TRIM(Raw_Data!F20))</f>
        <v>Consumer</v>
      </c>
      <c r="G20" t="str">
        <f>PROPER(TRIM(Raw_Data!G20))</f>
        <v>Monitor</v>
      </c>
      <c r="H20" t="str">
        <f>PROPER(TRIM(Raw_Data!H20))</f>
        <v>Monitor 32</v>
      </c>
      <c r="I20">
        <f>IFERROR(MAX(0,VALUE(Raw_Data!I20)),0)</f>
        <v>8</v>
      </c>
      <c r="J20" s="13">
        <f>IFERROR(VALUE(Raw_Data!J20),0)</f>
        <v>17493</v>
      </c>
      <c r="K20" s="14">
        <f>IFERROR(VALUE(Raw_Data!K20),0)</f>
        <v>0.15</v>
      </c>
      <c r="L20" t="str">
        <f>PROPER(TRIM(Raw_Data!L20))</f>
        <v>Delivered</v>
      </c>
      <c r="M20" s="13">
        <f t="shared" si="0"/>
        <v>139944</v>
      </c>
      <c r="N20" s="13">
        <f t="shared" si="1"/>
        <v>20991.6</v>
      </c>
      <c r="O20" s="13">
        <f t="shared" si="2"/>
        <v>118952.4</v>
      </c>
      <c r="P20" s="13">
        <f t="shared" si="3"/>
        <v>97960.8</v>
      </c>
      <c r="Q20" s="13">
        <f t="shared" si="4"/>
        <v>20991.6</v>
      </c>
      <c r="R20" s="10">
        <f t="shared" si="5"/>
        <v>0.176470588235294</v>
      </c>
      <c r="S20" t="str">
        <f t="shared" si="6"/>
        <v>Aug-2026</v>
      </c>
      <c r="T20" t="str">
        <f t="shared" si="7"/>
        <v>OK</v>
      </c>
    </row>
    <row r="21" spans="1:20">
      <c r="A21" t="str">
        <f>TRIM(Raw_Data!A21)</f>
        <v>ORD-10020</v>
      </c>
      <c r="B21" s="12">
        <f>IFERROR(IF(ISNUMBER(Raw_Data!B21),Raw_Data!B21,DATEVALUE(Raw_Data!B21)),"")</f>
        <v>46075</v>
      </c>
      <c r="C21" t="str">
        <f>PROPER(TRIM(Raw_Data!C21))</f>
        <v>Meghana</v>
      </c>
      <c r="D21" t="str">
        <f>IF(TRIM(Raw_Data!D21)="Bangalore","Bengaluru",IF(TRIM(Raw_Data!D21)="Mysore","Mysuru",IF(TRIM(Raw_Data!D21)="Cochin","Kochi",PROPER(TRIM(Raw_Data!D21)))))</f>
        <v>Bengaluru</v>
      </c>
      <c r="E21" t="str">
        <f>PROPER(TRIM(Raw_Data!E21))</f>
        <v>Retail Store</v>
      </c>
      <c r="F21" t="str">
        <f>PROPER(TRIM(Raw_Data!F21))</f>
        <v>Enterprise</v>
      </c>
      <c r="G21" t="str">
        <f>PROPER(TRIM(Raw_Data!G21))</f>
        <v>Mouse</v>
      </c>
      <c r="H21" t="str">
        <f>PROPER(TRIM(Raw_Data!H21))</f>
        <v>Mouse Ergonomic</v>
      </c>
      <c r="I21">
        <f>IFERROR(MAX(0,VALUE(Raw_Data!I21)),0)</f>
        <v>5</v>
      </c>
      <c r="J21" s="13">
        <f>IFERROR(VALUE(Raw_Data!J21),0)</f>
        <v>724</v>
      </c>
      <c r="K21" s="14">
        <f>IFERROR(VALUE(Raw_Data!K21),0)</f>
        <v>0.08</v>
      </c>
      <c r="L21" t="str">
        <f>PROPER(TRIM(Raw_Data!L21))</f>
        <v>Pending</v>
      </c>
      <c r="M21" s="13">
        <f t="shared" si="0"/>
        <v>3620</v>
      </c>
      <c r="N21" s="13">
        <f t="shared" si="1"/>
        <v>289.6</v>
      </c>
      <c r="O21" s="13">
        <f t="shared" si="2"/>
        <v>3330.4</v>
      </c>
      <c r="P21" s="13">
        <f t="shared" si="3"/>
        <v>1991</v>
      </c>
      <c r="Q21" s="13">
        <f t="shared" si="4"/>
        <v>1339.4</v>
      </c>
      <c r="R21" s="10">
        <f t="shared" si="5"/>
        <v>0.402173913043478</v>
      </c>
      <c r="S21" t="str">
        <f t="shared" si="6"/>
        <v>Feb-2026</v>
      </c>
      <c r="T21" t="str">
        <f t="shared" si="7"/>
        <v>OK</v>
      </c>
    </row>
    <row r="22" spans="1:20">
      <c r="A22" t="str">
        <f>TRIM(Raw_Data!A22)</f>
        <v>ORD-10021</v>
      </c>
      <c r="B22" s="12">
        <f>IFERROR(IF(ISNUMBER(Raw_Data!B22),Raw_Data!B22,DATEVALUE(Raw_Data!B22)),"")</f>
        <v>46192</v>
      </c>
      <c r="C22" t="str">
        <f>PROPER(TRIM(Raw_Data!C22))</f>
        <v>Arjun</v>
      </c>
      <c r="D22" t="str">
        <f>IF(TRIM(Raw_Data!D22)="Bangalore","Bengaluru",IF(TRIM(Raw_Data!D22)="Mysore","Mysuru",IF(TRIM(Raw_Data!D22)="Cochin","Kochi",PROPER(TRIM(Raw_Data!D22)))))</f>
        <v>Kochi</v>
      </c>
      <c r="E22" t="str">
        <f>PROPER(TRIM(Raw_Data!E22))</f>
        <v>Retail Store</v>
      </c>
      <c r="F22" t="str">
        <f>PROPER(TRIM(Raw_Data!F22))</f>
        <v>Smb</v>
      </c>
      <c r="G22" t="str">
        <f>PROPER(TRIM(Raw_Data!G22))</f>
        <v>Laptop</v>
      </c>
      <c r="H22" t="str">
        <f>PROPER(TRIM(Raw_Data!H22))</f>
        <v>Laptop Pro 14</v>
      </c>
      <c r="I22">
        <f>IFERROR(MAX(0,VALUE(Raw_Data!I22)),0)</f>
        <v>7</v>
      </c>
      <c r="J22" s="13">
        <f>IFERROR(VALUE(Raw_Data!J22),0)</f>
        <v>53893</v>
      </c>
      <c r="K22" s="14">
        <f>IFERROR(VALUE(Raw_Data!K22),0)</f>
        <v>0.05</v>
      </c>
      <c r="L22" t="str">
        <f>PROPER(TRIM(Raw_Data!L22))</f>
        <v>Delivered</v>
      </c>
      <c r="M22" s="13">
        <f t="shared" si="0"/>
        <v>377251</v>
      </c>
      <c r="N22" s="13">
        <f t="shared" si="1"/>
        <v>18862.55</v>
      </c>
      <c r="O22" s="13">
        <f t="shared" si="2"/>
        <v>358388.45</v>
      </c>
      <c r="P22" s="13">
        <f t="shared" si="3"/>
        <v>294255.78</v>
      </c>
      <c r="Q22" s="13">
        <f t="shared" si="4"/>
        <v>64132.67</v>
      </c>
      <c r="R22" s="10">
        <f t="shared" si="5"/>
        <v>0.178947368421053</v>
      </c>
      <c r="S22" t="str">
        <f t="shared" si="6"/>
        <v>Jun-2026</v>
      </c>
      <c r="T22" t="str">
        <f t="shared" si="7"/>
        <v>OK</v>
      </c>
    </row>
    <row r="23" spans="1:20">
      <c r="A23" t="str">
        <f>TRIM(Raw_Data!A23)</f>
        <v>ORD-10022</v>
      </c>
      <c r="B23" s="12">
        <f>IFERROR(IF(ISNUMBER(Raw_Data!B23),Raw_Data!B23,DATEVALUE(Raw_Data!B23)),"")</f>
        <v>46074</v>
      </c>
      <c r="C23" t="str">
        <f>PROPER(TRIM(Raw_Data!C23))</f>
        <v>Arjun</v>
      </c>
      <c r="D23" t="str">
        <f>IF(TRIM(Raw_Data!D23)="Bangalore","Bengaluru",IF(TRIM(Raw_Data!D23)="Mysore","Mysuru",IF(TRIM(Raw_Data!D23)="Cochin","Kochi",PROPER(TRIM(Raw_Data!D23)))))</f>
        <v>Hyderabad</v>
      </c>
      <c r="E23" t="str">
        <f>PROPER(TRIM(Raw_Data!E23))</f>
        <v>Corporate</v>
      </c>
      <c r="F23" t="str">
        <f>PROPER(TRIM(Raw_Data!F23))</f>
        <v>Smb</v>
      </c>
      <c r="G23" t="str">
        <f>PROPER(TRIM(Raw_Data!G23))</f>
        <v>Laptop</v>
      </c>
      <c r="H23" t="str">
        <f>PROPER(TRIM(Raw_Data!H23))</f>
        <v>Business Laptop 15</v>
      </c>
      <c r="I23">
        <f>IFERROR(MAX(0,VALUE(Raw_Data!I23)),0)</f>
        <v>4</v>
      </c>
      <c r="J23" s="13">
        <f>IFERROR(VALUE(Raw_Data!J23),0)</f>
        <v>60633</v>
      </c>
      <c r="K23" s="14">
        <f>IFERROR(VALUE(Raw_Data!K23),0)</f>
        <v>0.08</v>
      </c>
      <c r="L23" t="str">
        <f>PROPER(TRIM(Raw_Data!L23))</f>
        <v>Returned</v>
      </c>
      <c r="M23" s="13">
        <f t="shared" si="0"/>
        <v>242532</v>
      </c>
      <c r="N23" s="13">
        <f t="shared" si="1"/>
        <v>19402.56</v>
      </c>
      <c r="O23" s="13">
        <f t="shared" si="2"/>
        <v>223129.44</v>
      </c>
      <c r="P23" s="13">
        <f t="shared" si="3"/>
        <v>189174.96</v>
      </c>
      <c r="Q23" s="13">
        <f t="shared" si="4"/>
        <v>33954.48</v>
      </c>
      <c r="R23" s="10">
        <f t="shared" si="5"/>
        <v>0.152173913043478</v>
      </c>
      <c r="S23" t="str">
        <f t="shared" si="6"/>
        <v>Feb-2026</v>
      </c>
      <c r="T23" t="str">
        <f t="shared" si="7"/>
        <v>OK</v>
      </c>
    </row>
    <row r="24" spans="1:20">
      <c r="A24" t="str">
        <f>TRIM(Raw_Data!A24)</f>
        <v>ORD-10023</v>
      </c>
      <c r="B24" s="12">
        <f>IFERROR(IF(ISNUMBER(Raw_Data!B24),Raw_Data!B24,DATEVALUE(Raw_Data!B24)),"")</f>
        <v>46174</v>
      </c>
      <c r="C24" t="str">
        <f>PROPER(TRIM(Raw_Data!C24))</f>
        <v>Arjun</v>
      </c>
      <c r="D24" t="str">
        <f>IF(TRIM(Raw_Data!D24)="Bangalore","Bengaluru",IF(TRIM(Raw_Data!D24)="Mysore","Mysuru",IF(TRIM(Raw_Data!D24)="Cochin","Kochi",PROPER(TRIM(Raw_Data!D24)))))</f>
        <v>Mumbai</v>
      </c>
      <c r="E24" t="str">
        <f>PROPER(TRIM(Raw_Data!E24))</f>
        <v>Retail Store</v>
      </c>
      <c r="F24" t="str">
        <f>PROPER(TRIM(Raw_Data!F24))</f>
        <v>Enterprise</v>
      </c>
      <c r="G24" t="str">
        <f>PROPER(TRIM(Raw_Data!G24))</f>
        <v>Monitor</v>
      </c>
      <c r="H24" t="str">
        <f>PROPER(TRIM(Raw_Data!H24))</f>
        <v>Monitor 24</v>
      </c>
      <c r="I24">
        <f>IFERROR(MAX(0,VALUE(Raw_Data!I24)),0)</f>
        <v>7</v>
      </c>
      <c r="J24" s="13">
        <f>IFERROR(VALUE(Raw_Data!J24),0)</f>
        <v>12966</v>
      </c>
      <c r="K24" s="14">
        <f>IFERROR(VALUE(Raw_Data!K24),0)</f>
        <v>0.15</v>
      </c>
      <c r="L24" t="str">
        <f>PROPER(TRIM(Raw_Data!L24))</f>
        <v>Delivered</v>
      </c>
      <c r="M24" s="13">
        <f t="shared" si="0"/>
        <v>90762</v>
      </c>
      <c r="N24" s="13">
        <f t="shared" si="1"/>
        <v>13614.3</v>
      </c>
      <c r="O24" s="13">
        <f t="shared" si="2"/>
        <v>77147.7</v>
      </c>
      <c r="P24" s="13">
        <f t="shared" si="3"/>
        <v>63533.4</v>
      </c>
      <c r="Q24" s="13">
        <f t="shared" si="4"/>
        <v>13614.3</v>
      </c>
      <c r="R24" s="10">
        <f t="shared" si="5"/>
        <v>0.176470588235294</v>
      </c>
      <c r="S24" t="str">
        <f t="shared" si="6"/>
        <v>Jun-2026</v>
      </c>
      <c r="T24" t="str">
        <f t="shared" si="7"/>
        <v>OK</v>
      </c>
    </row>
    <row r="25" spans="1:20">
      <c r="A25" t="str">
        <f>TRIM(Raw_Data!A25)</f>
        <v>ORD-10024</v>
      </c>
      <c r="B25" s="12">
        <f>IFERROR(IF(ISNUMBER(Raw_Data!B25),Raw_Data!B25,DATEVALUE(Raw_Data!B25)),"")</f>
        <v>46146</v>
      </c>
      <c r="C25" t="str">
        <f>PROPER(TRIM(Raw_Data!C25))</f>
        <v>Kiran</v>
      </c>
      <c r="D25" t="str">
        <f>IF(TRIM(Raw_Data!D25)="Bangalore","Bengaluru",IF(TRIM(Raw_Data!D25)="Mysore","Mysuru",IF(TRIM(Raw_Data!D25)="Cochin","Kochi",PROPER(TRIM(Raw_Data!D25)))))</f>
        <v>Mumbai</v>
      </c>
      <c r="E25" t="str">
        <f>PROPER(TRIM(Raw_Data!E25))</f>
        <v>Retail Store</v>
      </c>
      <c r="F25" t="str">
        <f>PROPER(TRIM(Raw_Data!F25))</f>
        <v>Smb</v>
      </c>
      <c r="G25" t="str">
        <f>PROPER(TRIM(Raw_Data!G25))</f>
        <v>Mouse</v>
      </c>
      <c r="H25" t="str">
        <f>PROPER(TRIM(Raw_Data!H25))</f>
        <v>Mouse Ergonomic</v>
      </c>
      <c r="I25">
        <f>IFERROR(MAX(0,VALUE(Raw_Data!I25)),0)</f>
        <v>4</v>
      </c>
      <c r="J25" s="13">
        <f>IFERROR(VALUE(Raw_Data!J25),0)</f>
        <v>0</v>
      </c>
      <c r="K25" s="14">
        <f>IFERROR(VALUE(Raw_Data!K25),0)</f>
        <v>0.08</v>
      </c>
      <c r="L25" t="str">
        <f>PROPER(TRIM(Raw_Data!L25))</f>
        <v>Cancelled</v>
      </c>
      <c r="M25" s="13">
        <f t="shared" si="0"/>
        <v>0</v>
      </c>
      <c r="N25" s="13">
        <f t="shared" si="1"/>
        <v>0</v>
      </c>
      <c r="O25" s="13">
        <f t="shared" si="2"/>
        <v>0</v>
      </c>
      <c r="P25" s="13">
        <f t="shared" si="3"/>
        <v>0</v>
      </c>
      <c r="Q25" s="13">
        <f t="shared" si="4"/>
        <v>0</v>
      </c>
      <c r="R25" s="10">
        <f t="shared" si="5"/>
        <v>0</v>
      </c>
      <c r="S25" t="str">
        <f t="shared" si="6"/>
        <v>May-2026</v>
      </c>
      <c r="T25" t="str">
        <f t="shared" si="7"/>
        <v>CHECK</v>
      </c>
    </row>
    <row r="26" spans="1:20">
      <c r="A26" t="str">
        <f>TRIM(Raw_Data!A26)</f>
        <v>ORD-10025</v>
      </c>
      <c r="B26" s="12">
        <f>IFERROR(IF(ISNUMBER(Raw_Data!B26),Raw_Data!B26,DATEVALUE(Raw_Data!B26)),"")</f>
        <v>46207</v>
      </c>
      <c r="C26" t="str">
        <f>PROPER(TRIM(Raw_Data!C26))</f>
        <v>Bhoomika</v>
      </c>
      <c r="D26" t="str">
        <f>IF(TRIM(Raw_Data!D26)="Bangalore","Bengaluru",IF(TRIM(Raw_Data!D26)="Mysore","Mysuru",IF(TRIM(Raw_Data!D26)="Cochin","Kochi",PROPER(TRIM(Raw_Data!D26)))))</f>
        <v>Pune</v>
      </c>
      <c r="E26" t="str">
        <f>PROPER(TRIM(Raw_Data!E26))</f>
        <v>Corporate</v>
      </c>
      <c r="F26" t="str">
        <f>PROPER(TRIM(Raw_Data!F26))</f>
        <v>Enterprise</v>
      </c>
      <c r="G26" t="str">
        <f>PROPER(TRIM(Raw_Data!G26))</f>
        <v>Mouse</v>
      </c>
      <c r="H26" t="str">
        <f>PROPER(TRIM(Raw_Data!H26))</f>
        <v>Mouse Ergonomic</v>
      </c>
      <c r="I26">
        <f>IFERROR(MAX(0,VALUE(Raw_Data!I26)),0)</f>
        <v>5</v>
      </c>
      <c r="J26" s="13">
        <f>IFERROR(VALUE(Raw_Data!J26),0)</f>
        <v>770</v>
      </c>
      <c r="K26" s="14">
        <f>IFERROR(VALUE(Raw_Data!K26),0)</f>
        <v>0.02</v>
      </c>
      <c r="L26" t="str">
        <f>PROPER(TRIM(Raw_Data!L26))</f>
        <v>Pending</v>
      </c>
      <c r="M26" s="13">
        <f t="shared" si="0"/>
        <v>3850</v>
      </c>
      <c r="N26" s="13">
        <f t="shared" si="1"/>
        <v>77</v>
      </c>
      <c r="O26" s="13">
        <f t="shared" si="2"/>
        <v>3773</v>
      </c>
      <c r="P26" s="13">
        <f t="shared" si="3"/>
        <v>2117.5</v>
      </c>
      <c r="Q26" s="13">
        <f t="shared" si="4"/>
        <v>1655.5</v>
      </c>
      <c r="R26" s="10">
        <f t="shared" si="5"/>
        <v>0.438775510204082</v>
      </c>
      <c r="S26" t="str">
        <f t="shared" si="6"/>
        <v>Jul-2026</v>
      </c>
      <c r="T26" t="str">
        <f t="shared" si="7"/>
        <v>OK</v>
      </c>
    </row>
    <row r="27" spans="1:20">
      <c r="A27" t="str">
        <f>TRIM(Raw_Data!A27)</f>
        <v>ORD-10026</v>
      </c>
      <c r="B27" s="12">
        <f>IFERROR(IF(ISNUMBER(Raw_Data!B27),Raw_Data!B27,DATEVALUE(Raw_Data!B27)),"")</f>
        <v>46218</v>
      </c>
      <c r="C27" t="str">
        <f>PROPER(TRIM(Raw_Data!C27))</f>
        <v>Priya</v>
      </c>
      <c r="D27" t="str">
        <f>IF(TRIM(Raw_Data!D27)="Bangalore","Bengaluru",IF(TRIM(Raw_Data!D27)="Mysore","Mysuru",IF(TRIM(Raw_Data!D27)="Cochin","Kochi",PROPER(TRIM(Raw_Data!D27)))))</f>
        <v>Pune</v>
      </c>
      <c r="E27" t="str">
        <f>PROPER(TRIM(Raw_Data!E27))</f>
        <v>Online</v>
      </c>
      <c r="F27" t="str">
        <f>PROPER(TRIM(Raw_Data!F27))</f>
        <v>Smb</v>
      </c>
      <c r="G27" t="str">
        <f>PROPER(TRIM(Raw_Data!G27))</f>
        <v>Monitor</v>
      </c>
      <c r="H27" t="str">
        <f>PROPER(TRIM(Raw_Data!H27))</f>
        <v>Monitor 24</v>
      </c>
      <c r="I27">
        <f>IFERROR(MAX(0,VALUE(Raw_Data!I27)),0)</f>
        <v>0</v>
      </c>
      <c r="J27" s="13">
        <f>IFERROR(VALUE(Raw_Data!J27),0)</f>
        <v>18060</v>
      </c>
      <c r="K27" s="14">
        <f>IFERROR(VALUE(Raw_Data!K27),0)</f>
        <v>0.02</v>
      </c>
      <c r="L27" t="str">
        <f>PROPER(TRIM(Raw_Data!L27))</f>
        <v>Delivered</v>
      </c>
      <c r="M27" s="13">
        <f t="shared" si="0"/>
        <v>0</v>
      </c>
      <c r="N27" s="13">
        <f t="shared" si="1"/>
        <v>0</v>
      </c>
      <c r="O27" s="13">
        <f t="shared" si="2"/>
        <v>0</v>
      </c>
      <c r="P27" s="13">
        <f t="shared" si="3"/>
        <v>0</v>
      </c>
      <c r="Q27" s="13">
        <f t="shared" si="4"/>
        <v>0</v>
      </c>
      <c r="R27" s="10">
        <f t="shared" si="5"/>
        <v>0</v>
      </c>
      <c r="S27" t="str">
        <f t="shared" si="6"/>
        <v>Jul-2026</v>
      </c>
      <c r="T27" t="str">
        <f t="shared" si="7"/>
        <v>CHECK</v>
      </c>
    </row>
    <row r="28" spans="1:20">
      <c r="A28" t="str">
        <f>TRIM(Raw_Data!A28)</f>
        <v>ORD-10027</v>
      </c>
      <c r="B28" s="12">
        <f>IFERROR(IF(ISNUMBER(Raw_Data!B28),Raw_Data!B28,DATEVALUE(Raw_Data!B28)),"")</f>
        <v>46036</v>
      </c>
      <c r="C28" t="str">
        <f>PROPER(TRIM(Raw_Data!C28))</f>
        <v>Bhoomika</v>
      </c>
      <c r="D28" t="str">
        <f>IF(TRIM(Raw_Data!D28)="Bangalore","Bengaluru",IF(TRIM(Raw_Data!D28)="Mysore","Mysuru",IF(TRIM(Raw_Data!D28)="Cochin","Kochi",PROPER(TRIM(Raw_Data!D28)))))</f>
        <v>Chennai</v>
      </c>
      <c r="E28" t="str">
        <f>PROPER(TRIM(Raw_Data!E28))</f>
        <v>Corporate</v>
      </c>
      <c r="F28" t="str">
        <f>PROPER(TRIM(Raw_Data!F28))</f>
        <v>Consumer</v>
      </c>
      <c r="G28" t="str">
        <f>PROPER(TRIM(Raw_Data!G28))</f>
        <v>Keyboard</v>
      </c>
      <c r="H28" t="str">
        <f>PROPER(TRIM(Raw_Data!H28))</f>
        <v>Keyboard Mechanical</v>
      </c>
      <c r="I28">
        <f>IFERROR(MAX(0,VALUE(Raw_Data!I28)),0)</f>
        <v>1</v>
      </c>
      <c r="J28" s="13">
        <f>IFERROR(VALUE(Raw_Data!J28),0)</f>
        <v>5228</v>
      </c>
      <c r="K28" s="14">
        <f>IFERROR(VALUE(Raw_Data!K28),0)</f>
        <v>0.02</v>
      </c>
      <c r="L28" t="str">
        <f>PROPER(TRIM(Raw_Data!L28))</f>
        <v>Delivered</v>
      </c>
      <c r="M28" s="13">
        <f t="shared" si="0"/>
        <v>5228</v>
      </c>
      <c r="N28" s="13">
        <f t="shared" si="1"/>
        <v>104.56</v>
      </c>
      <c r="O28" s="13">
        <f t="shared" si="2"/>
        <v>5123.44</v>
      </c>
      <c r="P28" s="13">
        <f t="shared" si="3"/>
        <v>3032.24</v>
      </c>
      <c r="Q28" s="13">
        <f t="shared" si="4"/>
        <v>2091.2</v>
      </c>
      <c r="R28" s="10">
        <f t="shared" si="5"/>
        <v>0.408163265306122</v>
      </c>
      <c r="S28" t="str">
        <f t="shared" si="6"/>
        <v>Jan-2026</v>
      </c>
      <c r="T28" t="str">
        <f t="shared" si="7"/>
        <v>OK</v>
      </c>
    </row>
    <row r="29" spans="1:20">
      <c r="A29" t="str">
        <f>TRIM(Raw_Data!A29)</f>
        <v>ORD-10028</v>
      </c>
      <c r="B29" s="12">
        <f>IFERROR(IF(ISNUMBER(Raw_Data!B29),Raw_Data!B29,DATEVALUE(Raw_Data!B29)),"")</f>
        <v>46038</v>
      </c>
      <c r="C29" t="str">
        <f>PROPER(TRIM(Raw_Data!C29))</f>
        <v>Priya</v>
      </c>
      <c r="D29" t="str">
        <f>IF(TRIM(Raw_Data!D29)="Bangalore","Bengaluru",IF(TRIM(Raw_Data!D29)="Mysore","Mysuru",IF(TRIM(Raw_Data!D29)="Cochin","Kochi",PROPER(TRIM(Raw_Data!D29)))))</f>
        <v>Chennai</v>
      </c>
      <c r="E29" t="str">
        <f>PROPER(TRIM(Raw_Data!E29))</f>
        <v>Corporate</v>
      </c>
      <c r="F29" t="str">
        <f>PROPER(TRIM(Raw_Data!F29))</f>
        <v>Smb</v>
      </c>
      <c r="G29" t="str">
        <f>PROPER(TRIM(Raw_Data!G29))</f>
        <v>Headset</v>
      </c>
      <c r="H29" t="str">
        <f>PROPER(TRIM(Raw_Data!H29))</f>
        <v>Headset Office</v>
      </c>
      <c r="I29">
        <f>IFERROR(MAX(0,VALUE(Raw_Data!I29)),0)</f>
        <v>3</v>
      </c>
      <c r="J29" s="13">
        <f>IFERROR(VALUE(Raw_Data!J29),0)</f>
        <v>2165</v>
      </c>
      <c r="K29" s="14">
        <f>IFERROR(VALUE(Raw_Data!K29),0)</f>
        <v>0.02</v>
      </c>
      <c r="L29" t="str">
        <f>PROPER(TRIM(Raw_Data!L29))</f>
        <v>Delivered</v>
      </c>
      <c r="M29" s="13">
        <f t="shared" si="0"/>
        <v>6495</v>
      </c>
      <c r="N29" s="13">
        <f t="shared" si="1"/>
        <v>129.9</v>
      </c>
      <c r="O29" s="13">
        <f t="shared" si="2"/>
        <v>6365.1</v>
      </c>
      <c r="P29" s="13">
        <f t="shared" si="3"/>
        <v>3897</v>
      </c>
      <c r="Q29" s="13">
        <f t="shared" si="4"/>
        <v>2468.1</v>
      </c>
      <c r="R29" s="10">
        <f t="shared" si="5"/>
        <v>0.387755102040816</v>
      </c>
      <c r="S29" t="str">
        <f t="shared" si="6"/>
        <v>Jan-2026</v>
      </c>
      <c r="T29" t="str">
        <f t="shared" si="7"/>
        <v>OK</v>
      </c>
    </row>
    <row r="30" spans="1:20">
      <c r="A30" t="str">
        <f>TRIM(Raw_Data!A30)</f>
        <v>ORD-10029</v>
      </c>
      <c r="B30" s="12">
        <f>IFERROR(IF(ISNUMBER(Raw_Data!B30),Raw_Data!B30,DATEVALUE(Raw_Data!B30)),"")</f>
        <v>46262</v>
      </c>
      <c r="C30" t="str">
        <f>PROPER(TRIM(Raw_Data!C30))</f>
        <v>Bhoomika</v>
      </c>
      <c r="D30" t="str">
        <f>IF(TRIM(Raw_Data!D30)="Bangalore","Bengaluru",IF(TRIM(Raw_Data!D30)="Mysore","Mysuru",IF(TRIM(Raw_Data!D30)="Cochin","Kochi",PROPER(TRIM(Raw_Data!D30)))))</f>
        <v>Chennai</v>
      </c>
      <c r="E30" t="str">
        <f>PROPER(TRIM(Raw_Data!E30))</f>
        <v>Retail Store</v>
      </c>
      <c r="F30" t="str">
        <f>PROPER(TRIM(Raw_Data!F30))</f>
        <v>Enterprise</v>
      </c>
      <c r="G30" t="str">
        <f>PROPER(TRIM(Raw_Data!G30))</f>
        <v>Monitor</v>
      </c>
      <c r="H30" t="str">
        <f>PROPER(TRIM(Raw_Data!H30))</f>
        <v>Monitor 27</v>
      </c>
      <c r="I30">
        <f>IFERROR(MAX(0,VALUE(Raw_Data!I30)),0)</f>
        <v>2</v>
      </c>
      <c r="J30" s="13">
        <f>IFERROR(VALUE(Raw_Data!J30),0)</f>
        <v>16366</v>
      </c>
      <c r="K30" s="14">
        <f>IFERROR(VALUE(Raw_Data!K30),0)</f>
        <v>0</v>
      </c>
      <c r="L30" t="str">
        <f>PROPER(TRIM(Raw_Data!L30))</f>
        <v>Delivered</v>
      </c>
      <c r="M30" s="13">
        <f t="shared" si="0"/>
        <v>32732</v>
      </c>
      <c r="N30" s="13">
        <f t="shared" si="1"/>
        <v>0</v>
      </c>
      <c r="O30" s="13">
        <f t="shared" si="2"/>
        <v>32732</v>
      </c>
      <c r="P30" s="13">
        <f t="shared" si="3"/>
        <v>22912.4</v>
      </c>
      <c r="Q30" s="13">
        <f t="shared" si="4"/>
        <v>9819.6</v>
      </c>
      <c r="R30" s="10">
        <f t="shared" si="5"/>
        <v>0.3</v>
      </c>
      <c r="S30" t="str">
        <f t="shared" si="6"/>
        <v>Aug-2026</v>
      </c>
      <c r="T30" t="str">
        <f t="shared" si="7"/>
        <v>OK</v>
      </c>
    </row>
    <row r="31" spans="1:20">
      <c r="A31" t="str">
        <f>TRIM(Raw_Data!A31)</f>
        <v>ORD-10030</v>
      </c>
      <c r="B31" s="12">
        <f>IFERROR(IF(ISNUMBER(Raw_Data!B31),Raw_Data!B31,DATEVALUE(Raw_Data!B31)),"")</f>
        <v>46195</v>
      </c>
      <c r="C31" t="str">
        <f>PROPER(TRIM(Raw_Data!C31))</f>
        <v>Kiran</v>
      </c>
      <c r="D31" t="str">
        <f>IF(TRIM(Raw_Data!D31)="Bangalore","Bengaluru",IF(TRIM(Raw_Data!D31)="Mysore","Mysuru",IF(TRIM(Raw_Data!D31)="Cochin","Kochi",PROPER(TRIM(Raw_Data!D31)))))</f>
        <v>Bengaluru</v>
      </c>
      <c r="E31" t="str">
        <f>PROPER(TRIM(Raw_Data!E31))</f>
        <v>Online</v>
      </c>
      <c r="F31" t="str">
        <f>PROPER(TRIM(Raw_Data!F31))</f>
        <v>Enterprise</v>
      </c>
      <c r="G31" t="str">
        <f>PROPER(TRIM(Raw_Data!G31))</f>
        <v>Headset</v>
      </c>
      <c r="H31" t="str">
        <f>PROPER(TRIM(Raw_Data!H31))</f>
        <v>Headset Office</v>
      </c>
      <c r="I31">
        <f>IFERROR(MAX(0,VALUE(Raw_Data!I31)),0)</f>
        <v>8</v>
      </c>
      <c r="J31" s="13">
        <f>IFERROR(VALUE(Raw_Data!J31),0)</f>
        <v>5354</v>
      </c>
      <c r="K31" s="14">
        <f>IFERROR(VALUE(Raw_Data!K31),0)</f>
        <v>0.05</v>
      </c>
      <c r="L31" t="str">
        <f>PROPER(TRIM(Raw_Data!L31))</f>
        <v>Delivered</v>
      </c>
      <c r="M31" s="13">
        <f t="shared" si="0"/>
        <v>42832</v>
      </c>
      <c r="N31" s="13">
        <f t="shared" si="1"/>
        <v>2141.6</v>
      </c>
      <c r="O31" s="13">
        <f t="shared" si="2"/>
        <v>40690.4</v>
      </c>
      <c r="P31" s="13">
        <f t="shared" si="3"/>
        <v>25699.2</v>
      </c>
      <c r="Q31" s="13">
        <f t="shared" si="4"/>
        <v>14991.2</v>
      </c>
      <c r="R31" s="10">
        <f t="shared" si="5"/>
        <v>0.368421052631579</v>
      </c>
      <c r="S31" t="str">
        <f t="shared" si="6"/>
        <v>Jun-2026</v>
      </c>
      <c r="T31" t="str">
        <f t="shared" si="7"/>
        <v>OK</v>
      </c>
    </row>
    <row r="32" spans="1:20">
      <c r="A32" t="str">
        <f>TRIM(Raw_Data!A32)</f>
        <v>ORD-10031</v>
      </c>
      <c r="B32" s="12">
        <f>IFERROR(IF(ISNUMBER(Raw_Data!B32),Raw_Data!B32,DATEVALUE(Raw_Data!B32)),"")</f>
        <v>46139</v>
      </c>
      <c r="C32" t="str">
        <f>PROPER(TRIM(Raw_Data!C32))</f>
        <v>Arjun</v>
      </c>
      <c r="D32" t="str">
        <f>IF(TRIM(Raw_Data!D32)="Bangalore","Bengaluru",IF(TRIM(Raw_Data!D32)="Mysore","Mysuru",IF(TRIM(Raw_Data!D32)="Cochin","Kochi",PROPER(TRIM(Raw_Data!D32)))))</f>
        <v>Mumbai</v>
      </c>
      <c r="E32" t="str">
        <f>PROPER(TRIM(Raw_Data!E32))</f>
        <v>Retail Store</v>
      </c>
      <c r="F32" t="str">
        <f>PROPER(TRIM(Raw_Data!F32))</f>
        <v>Smb</v>
      </c>
      <c r="G32" t="str">
        <f>PROPER(TRIM(Raw_Data!G32))</f>
        <v>Laptop</v>
      </c>
      <c r="H32" t="str">
        <f>PROPER(TRIM(Raw_Data!H32))</f>
        <v>Laptop Air 13</v>
      </c>
      <c r="I32">
        <f>IFERROR(MAX(0,VALUE(Raw_Data!I32)),0)</f>
        <v>8</v>
      </c>
      <c r="J32" s="13">
        <f>IFERROR(VALUE(Raw_Data!J32),0)</f>
        <v>66186</v>
      </c>
      <c r="K32" s="14">
        <f>IFERROR(VALUE(Raw_Data!K32),0)</f>
        <v>0.08</v>
      </c>
      <c r="L32" t="str">
        <f>PROPER(TRIM(Raw_Data!L32))</f>
        <v>Delivered</v>
      </c>
      <c r="M32" s="13">
        <f t="shared" si="0"/>
        <v>529488</v>
      </c>
      <c r="N32" s="13">
        <f t="shared" si="1"/>
        <v>42359.04</v>
      </c>
      <c r="O32" s="13">
        <f t="shared" si="2"/>
        <v>487128.96</v>
      </c>
      <c r="P32" s="13">
        <f t="shared" si="3"/>
        <v>413000.64</v>
      </c>
      <c r="Q32" s="13">
        <f t="shared" si="4"/>
        <v>74128.32</v>
      </c>
      <c r="R32" s="10">
        <f t="shared" si="5"/>
        <v>0.152173913043478</v>
      </c>
      <c r="S32" t="str">
        <f t="shared" si="6"/>
        <v>Apr-2026</v>
      </c>
      <c r="T32" t="str">
        <f t="shared" si="7"/>
        <v>OK</v>
      </c>
    </row>
    <row r="33" spans="1:20">
      <c r="A33" t="str">
        <f>TRIM(Raw_Data!A33)</f>
        <v>ORD-10032</v>
      </c>
      <c r="B33" s="12">
        <f>IFERROR(IF(ISNUMBER(Raw_Data!B33),Raw_Data!B33,DATEVALUE(Raw_Data!B33)),"")</f>
        <v>46063</v>
      </c>
      <c r="C33" t="str">
        <f>PROPER(TRIM(Raw_Data!C33))</f>
        <v>Neha</v>
      </c>
      <c r="D33" t="str">
        <f>IF(TRIM(Raw_Data!D33)="Bangalore","Bengaluru",IF(TRIM(Raw_Data!D33)="Mysore","Mysuru",IF(TRIM(Raw_Data!D33)="Cochin","Kochi",PROPER(TRIM(Raw_Data!D33)))))</f>
        <v>Bengaluru</v>
      </c>
      <c r="E33" t="str">
        <f>PROPER(TRIM(Raw_Data!E33))</f>
        <v>Corporate</v>
      </c>
      <c r="F33" t="str">
        <f>PROPER(TRIM(Raw_Data!F33))</f>
        <v>Enterprise</v>
      </c>
      <c r="G33" t="str">
        <f>PROPER(TRIM(Raw_Data!G33))</f>
        <v>Keyboard</v>
      </c>
      <c r="H33" t="str">
        <f>PROPER(TRIM(Raw_Data!H33))</f>
        <v>Keyboard Office</v>
      </c>
      <c r="I33">
        <f>IFERROR(MAX(0,VALUE(Raw_Data!I33)),0)</f>
        <v>8</v>
      </c>
      <c r="J33" s="13">
        <f>IFERROR(VALUE(Raw_Data!J33),0)</f>
        <v>1963</v>
      </c>
      <c r="K33" s="14">
        <f>IFERROR(VALUE(Raw_Data!K33),0)</f>
        <v>0</v>
      </c>
      <c r="L33" t="str">
        <f>PROPER(TRIM(Raw_Data!L33))</f>
        <v>Returned</v>
      </c>
      <c r="M33" s="13">
        <f t="shared" si="0"/>
        <v>15704</v>
      </c>
      <c r="N33" s="13">
        <f t="shared" si="1"/>
        <v>0</v>
      </c>
      <c r="O33" s="13">
        <f t="shared" si="2"/>
        <v>15704</v>
      </c>
      <c r="P33" s="13">
        <f t="shared" si="3"/>
        <v>9108.32</v>
      </c>
      <c r="Q33" s="13">
        <f t="shared" si="4"/>
        <v>6595.68</v>
      </c>
      <c r="R33" s="10">
        <f t="shared" si="5"/>
        <v>0.42</v>
      </c>
      <c r="S33" t="str">
        <f t="shared" si="6"/>
        <v>Feb-2026</v>
      </c>
      <c r="T33" t="str">
        <f t="shared" si="7"/>
        <v>OK</v>
      </c>
    </row>
    <row r="34" spans="1:20">
      <c r="A34" t="str">
        <f>TRIM(Raw_Data!A34)</f>
        <v>ORD-10033</v>
      </c>
      <c r="B34" s="12">
        <f>IFERROR(IF(ISNUMBER(Raw_Data!B34),Raw_Data!B34,DATEVALUE(Raw_Data!B34)),"")</f>
        <v>46220</v>
      </c>
      <c r="C34" t="str">
        <f>PROPER(TRIM(Raw_Data!C34))</f>
        <v>Arjun</v>
      </c>
      <c r="D34" t="str">
        <f>IF(TRIM(Raw_Data!D34)="Bangalore","Bengaluru",IF(TRIM(Raw_Data!D34)="Mysore","Mysuru",IF(TRIM(Raw_Data!D34)="Cochin","Kochi",PROPER(TRIM(Raw_Data!D34)))))</f>
        <v>Mumbai</v>
      </c>
      <c r="E34" t="str">
        <f>PROPER(TRIM(Raw_Data!E34))</f>
        <v>Retail Store</v>
      </c>
      <c r="F34" t="str">
        <f>PROPER(TRIM(Raw_Data!F34))</f>
        <v>Enterprise</v>
      </c>
      <c r="G34" t="str">
        <f>PROPER(TRIM(Raw_Data!G34))</f>
        <v>Mouse</v>
      </c>
      <c r="H34" t="str">
        <f>PROPER(TRIM(Raw_Data!H34))</f>
        <v>Mouse Ergonomic</v>
      </c>
      <c r="I34">
        <f>IFERROR(MAX(0,VALUE(Raw_Data!I34)),0)</f>
        <v>8</v>
      </c>
      <c r="J34" s="13">
        <f>IFERROR(VALUE(Raw_Data!J34),0)</f>
        <v>3104</v>
      </c>
      <c r="K34" s="14">
        <f>IFERROR(VALUE(Raw_Data!K34),0)</f>
        <v>0.02</v>
      </c>
      <c r="L34" t="str">
        <f>PROPER(TRIM(Raw_Data!L34))</f>
        <v>Pending</v>
      </c>
      <c r="M34" s="13">
        <f t="shared" si="0"/>
        <v>24832</v>
      </c>
      <c r="N34" s="13">
        <f t="shared" si="1"/>
        <v>496.64</v>
      </c>
      <c r="O34" s="13">
        <f t="shared" si="2"/>
        <v>24335.36</v>
      </c>
      <c r="P34" s="13">
        <f t="shared" si="3"/>
        <v>13657.6</v>
      </c>
      <c r="Q34" s="13">
        <f t="shared" si="4"/>
        <v>10677.76</v>
      </c>
      <c r="R34" s="10">
        <f t="shared" si="5"/>
        <v>0.438775510204082</v>
      </c>
      <c r="S34" t="str">
        <f t="shared" si="6"/>
        <v>Jul-2026</v>
      </c>
      <c r="T34" t="str">
        <f t="shared" si="7"/>
        <v>OK</v>
      </c>
    </row>
    <row r="35" spans="1:20">
      <c r="A35" t="str">
        <f>TRIM(Raw_Data!A35)</f>
        <v>ORD-10034</v>
      </c>
      <c r="B35" s="12">
        <f>IFERROR(IF(ISNUMBER(Raw_Data!B35),Raw_Data!B35,DATEVALUE(Raw_Data!B35)),"")</f>
        <v>46121</v>
      </c>
      <c r="C35" t="str">
        <f>PROPER(TRIM(Raw_Data!C35))</f>
        <v>Priya</v>
      </c>
      <c r="D35" t="str">
        <f>IF(TRIM(Raw_Data!D35)="Bangalore","Bengaluru",IF(TRIM(Raw_Data!D35)="Mysore","Mysuru",IF(TRIM(Raw_Data!D35)="Cochin","Kochi",PROPER(TRIM(Raw_Data!D35)))))</f>
        <v>Bengaluru</v>
      </c>
      <c r="E35" t="str">
        <f>PROPER(TRIM(Raw_Data!E35))</f>
        <v>Online</v>
      </c>
      <c r="F35" t="str">
        <f>PROPER(TRIM(Raw_Data!F35))</f>
        <v>Enterprise</v>
      </c>
      <c r="G35" t="str">
        <f>PROPER(TRIM(Raw_Data!G35))</f>
        <v>Monitor</v>
      </c>
      <c r="H35" t="str">
        <f>PROPER(TRIM(Raw_Data!H35))</f>
        <v>Monitor 27</v>
      </c>
      <c r="I35">
        <f>IFERROR(MAX(0,VALUE(Raw_Data!I35)),0)</f>
        <v>2</v>
      </c>
      <c r="J35" s="13">
        <f>IFERROR(VALUE(Raw_Data!J35),0)</f>
        <v>25459</v>
      </c>
      <c r="K35" s="14">
        <f>IFERROR(VALUE(Raw_Data!K35),0)</f>
        <v>0.1</v>
      </c>
      <c r="L35" t="str">
        <f>PROPER(TRIM(Raw_Data!L35))</f>
        <v>Pending</v>
      </c>
      <c r="M35" s="13">
        <f t="shared" si="0"/>
        <v>50918</v>
      </c>
      <c r="N35" s="13">
        <f t="shared" si="1"/>
        <v>5091.8</v>
      </c>
      <c r="O35" s="13">
        <f t="shared" si="2"/>
        <v>45826.2</v>
      </c>
      <c r="P35" s="13">
        <f t="shared" si="3"/>
        <v>35642.6</v>
      </c>
      <c r="Q35" s="13">
        <f t="shared" si="4"/>
        <v>10183.6</v>
      </c>
      <c r="R35" s="10">
        <f t="shared" si="5"/>
        <v>0.222222222222222</v>
      </c>
      <c r="S35" t="str">
        <f t="shared" si="6"/>
        <v>Apr-2026</v>
      </c>
      <c r="T35" t="str">
        <f t="shared" si="7"/>
        <v>OK</v>
      </c>
    </row>
    <row r="36" spans="1:20">
      <c r="A36" t="str">
        <f>TRIM(Raw_Data!A36)</f>
        <v>ORD-10035</v>
      </c>
      <c r="B36" s="12">
        <f>IFERROR(IF(ISNUMBER(Raw_Data!B36),Raw_Data!B36,DATEVALUE(Raw_Data!B36)),"")</f>
        <v>46217</v>
      </c>
      <c r="C36" t="str">
        <f>PROPER(TRIM(Raw_Data!C36))</f>
        <v>Ravi</v>
      </c>
      <c r="D36" t="str">
        <f>IF(TRIM(Raw_Data!D36)="Bangalore","Bengaluru",IF(TRIM(Raw_Data!D36)="Mysore","Mysuru",IF(TRIM(Raw_Data!D36)="Cochin","Kochi",PROPER(TRIM(Raw_Data!D36)))))</f>
        <v>Bengaluru</v>
      </c>
      <c r="E36" t="str">
        <f>PROPER(TRIM(Raw_Data!E36))</f>
        <v>Online</v>
      </c>
      <c r="F36" t="str">
        <f>PROPER(TRIM(Raw_Data!F36))</f>
        <v>Smb</v>
      </c>
      <c r="G36" t="str">
        <f>PROPER(TRIM(Raw_Data!G36))</f>
        <v>Mouse</v>
      </c>
      <c r="H36" t="str">
        <f>PROPER(TRIM(Raw_Data!H36))</f>
        <v>Mouse Basic</v>
      </c>
      <c r="I36">
        <f>IFERROR(MAX(0,VALUE(Raw_Data!I36)),0)</f>
        <v>7</v>
      </c>
      <c r="J36" s="13">
        <f>IFERROR(VALUE(Raw_Data!J36),0)</f>
        <v>1631</v>
      </c>
      <c r="K36" s="14">
        <f>IFERROR(VALUE(Raw_Data!K36),0)</f>
        <v>0</v>
      </c>
      <c r="L36" t="str">
        <f>PROPER(TRIM(Raw_Data!L36))</f>
        <v>Returned</v>
      </c>
      <c r="M36" s="13">
        <f t="shared" si="0"/>
        <v>11417</v>
      </c>
      <c r="N36" s="13">
        <f t="shared" si="1"/>
        <v>0</v>
      </c>
      <c r="O36" s="13">
        <f t="shared" si="2"/>
        <v>11417</v>
      </c>
      <c r="P36" s="13">
        <f t="shared" si="3"/>
        <v>6279.35</v>
      </c>
      <c r="Q36" s="13">
        <f t="shared" si="4"/>
        <v>5137.65</v>
      </c>
      <c r="R36" s="10">
        <f t="shared" si="5"/>
        <v>0.45</v>
      </c>
      <c r="S36" t="str">
        <f t="shared" si="6"/>
        <v>Jul-2026</v>
      </c>
      <c r="T36" t="str">
        <f t="shared" si="7"/>
        <v>OK</v>
      </c>
    </row>
    <row r="37" spans="1:20">
      <c r="A37" t="str">
        <f>TRIM(Raw_Data!A37)</f>
        <v>ORD-10036</v>
      </c>
      <c r="B37" s="12">
        <f>IFERROR(IF(ISNUMBER(Raw_Data!B37),Raw_Data!B37,DATEVALUE(Raw_Data!B37)),"")</f>
        <v>46120</v>
      </c>
      <c r="C37" t="str">
        <f>PROPER(TRIM(Raw_Data!C37))</f>
        <v>Neha</v>
      </c>
      <c r="D37" t="str">
        <f>IF(TRIM(Raw_Data!D37)="Bangalore","Bengaluru",IF(TRIM(Raw_Data!D37)="Mysore","Mysuru",IF(TRIM(Raw_Data!D37)="Cochin","Kochi",PROPER(TRIM(Raw_Data!D37)))))</f>
        <v>Pune</v>
      </c>
      <c r="E37" t="str">
        <f>PROPER(TRIM(Raw_Data!E37))</f>
        <v>Online</v>
      </c>
      <c r="F37" t="str">
        <f>PROPER(TRIM(Raw_Data!F37))</f>
        <v>Enterprise</v>
      </c>
      <c r="G37" t="str">
        <f>PROPER(TRIM(Raw_Data!G37))</f>
        <v>Headset</v>
      </c>
      <c r="H37" t="str">
        <f>PROPER(TRIM(Raw_Data!H37))</f>
        <v>Headset Office</v>
      </c>
      <c r="I37">
        <f>IFERROR(MAX(0,VALUE(Raw_Data!I37)),0)</f>
        <v>5</v>
      </c>
      <c r="J37" s="13">
        <f>IFERROR(VALUE(Raw_Data!J37),0)</f>
        <v>6725</v>
      </c>
      <c r="K37" s="14">
        <f>IFERROR(VALUE(Raw_Data!K37),0)</f>
        <v>0.08</v>
      </c>
      <c r="L37" t="str">
        <f>PROPER(TRIM(Raw_Data!L37))</f>
        <v>Delivered</v>
      </c>
      <c r="M37" s="13">
        <f t="shared" si="0"/>
        <v>33625</v>
      </c>
      <c r="N37" s="13">
        <f t="shared" si="1"/>
        <v>2690</v>
      </c>
      <c r="O37" s="13">
        <f t="shared" si="2"/>
        <v>30935</v>
      </c>
      <c r="P37" s="13">
        <f t="shared" si="3"/>
        <v>20175</v>
      </c>
      <c r="Q37" s="13">
        <f t="shared" si="4"/>
        <v>10760</v>
      </c>
      <c r="R37" s="10">
        <f t="shared" si="5"/>
        <v>0.347826086956522</v>
      </c>
      <c r="S37" t="str">
        <f t="shared" si="6"/>
        <v>Apr-2026</v>
      </c>
      <c r="T37" t="str">
        <f t="shared" si="7"/>
        <v>OK</v>
      </c>
    </row>
    <row r="38" spans="1:20">
      <c r="A38" t="str">
        <f>TRIM(Raw_Data!A38)</f>
        <v>ORD-10037</v>
      </c>
      <c r="B38" s="12">
        <f>IFERROR(IF(ISNUMBER(Raw_Data!B38),Raw_Data!B38,DATEVALUE(Raw_Data!B38)),"")</f>
        <v>46083</v>
      </c>
      <c r="C38" t="str">
        <f>PROPER(TRIM(Raw_Data!C38))</f>
        <v>Asha</v>
      </c>
      <c r="D38" t="str">
        <f>IF(TRIM(Raw_Data!D38)="Bangalore","Bengaluru",IF(TRIM(Raw_Data!D38)="Mysore","Mysuru",IF(TRIM(Raw_Data!D38)="Cochin","Kochi",PROPER(TRIM(Raw_Data!D38)))))</f>
        <v>Delhi</v>
      </c>
      <c r="E38" t="str">
        <f>PROPER(TRIM(Raw_Data!E38))</f>
        <v>Retail Store</v>
      </c>
      <c r="F38" t="str">
        <f>PROPER(TRIM(Raw_Data!F38))</f>
        <v>Smb</v>
      </c>
      <c r="G38" t="str">
        <f>PROPER(TRIM(Raw_Data!G38))</f>
        <v>Mouse</v>
      </c>
      <c r="H38" t="str">
        <f>PROPER(TRIM(Raw_Data!H38))</f>
        <v>Mouse Basic</v>
      </c>
      <c r="I38">
        <f>IFERROR(MAX(0,VALUE(Raw_Data!I38)),0)</f>
        <v>7</v>
      </c>
      <c r="J38" s="13">
        <f>IFERROR(VALUE(Raw_Data!J38),0)</f>
        <v>789</v>
      </c>
      <c r="K38" s="14">
        <f>IFERROR(VALUE(Raw_Data!K38),0)</f>
        <v>0.05</v>
      </c>
      <c r="L38" t="str">
        <f>PROPER(TRIM(Raw_Data!L38))</f>
        <v>Delivered</v>
      </c>
      <c r="M38" s="13">
        <f t="shared" si="0"/>
        <v>5523</v>
      </c>
      <c r="N38" s="13">
        <f t="shared" si="1"/>
        <v>276.15</v>
      </c>
      <c r="O38" s="13">
        <f t="shared" si="2"/>
        <v>5246.85</v>
      </c>
      <c r="P38" s="13">
        <f t="shared" si="3"/>
        <v>3037.65</v>
      </c>
      <c r="Q38" s="13">
        <f t="shared" si="4"/>
        <v>2209.2</v>
      </c>
      <c r="R38" s="10">
        <f t="shared" si="5"/>
        <v>0.421052631578947</v>
      </c>
      <c r="S38" t="str">
        <f t="shared" si="6"/>
        <v>Mar-2026</v>
      </c>
      <c r="T38" t="str">
        <f t="shared" si="7"/>
        <v>OK</v>
      </c>
    </row>
    <row r="39" spans="1:20">
      <c r="A39" t="str">
        <f>TRIM(Raw_Data!A39)</f>
        <v>ORD-10038</v>
      </c>
      <c r="B39" s="12">
        <f>IFERROR(IF(ISNUMBER(Raw_Data!B39),Raw_Data!B39,DATEVALUE(Raw_Data!B39)),"")</f>
        <v>46047</v>
      </c>
      <c r="C39" t="str">
        <f>PROPER(TRIM(Raw_Data!C39))</f>
        <v>Meghana</v>
      </c>
      <c r="D39" t="str">
        <f>IF(TRIM(Raw_Data!D39)="Bangalore","Bengaluru",IF(TRIM(Raw_Data!D39)="Mysore","Mysuru",IF(TRIM(Raw_Data!D39)="Cochin","Kochi",PROPER(TRIM(Raw_Data!D39)))))</f>
        <v>Mysuru</v>
      </c>
      <c r="E39" t="str">
        <f>PROPER(TRIM(Raw_Data!E39))</f>
        <v>Retail Store</v>
      </c>
      <c r="F39" t="str">
        <f>PROPER(TRIM(Raw_Data!F39))</f>
        <v>Enterprise</v>
      </c>
      <c r="G39" t="str">
        <f>PROPER(TRIM(Raw_Data!G39))</f>
        <v>Laptop</v>
      </c>
      <c r="H39" t="str">
        <f>PROPER(TRIM(Raw_Data!H39))</f>
        <v>Laptop Air 13</v>
      </c>
      <c r="I39">
        <f>IFERROR(MAX(0,VALUE(Raw_Data!I39)),0)</f>
        <v>5</v>
      </c>
      <c r="J39" s="13">
        <f>IFERROR(VALUE(Raw_Data!J39),0)</f>
        <v>47186</v>
      </c>
      <c r="K39" s="14">
        <f>IFERROR(VALUE(Raw_Data!K39),0)</f>
        <v>0.05</v>
      </c>
      <c r="L39" t="str">
        <f>PROPER(TRIM(Raw_Data!L39))</f>
        <v>Returned</v>
      </c>
      <c r="M39" s="13">
        <f t="shared" si="0"/>
        <v>235930</v>
      </c>
      <c r="N39" s="13">
        <f t="shared" si="1"/>
        <v>11796.5</v>
      </c>
      <c r="O39" s="13">
        <f t="shared" si="2"/>
        <v>224133.5</v>
      </c>
      <c r="P39" s="13">
        <f t="shared" si="3"/>
        <v>184025.4</v>
      </c>
      <c r="Q39" s="13">
        <f t="shared" si="4"/>
        <v>40108.1</v>
      </c>
      <c r="R39" s="10">
        <f t="shared" si="5"/>
        <v>0.178947368421053</v>
      </c>
      <c r="S39" t="str">
        <f t="shared" si="6"/>
        <v>Jan-2026</v>
      </c>
      <c r="T39" t="str">
        <f t="shared" si="7"/>
        <v>OK</v>
      </c>
    </row>
    <row r="40" spans="1:20">
      <c r="A40" t="str">
        <f>TRIM(Raw_Data!A40)</f>
        <v>ORD-10039</v>
      </c>
      <c r="B40" s="12">
        <f>IFERROR(IF(ISNUMBER(Raw_Data!B40),Raw_Data!B40,DATEVALUE(Raw_Data!B40)),"")</f>
        <v>46042</v>
      </c>
      <c r="C40" t="str">
        <f>PROPER(TRIM(Raw_Data!C40))</f>
        <v>Bhoomika</v>
      </c>
      <c r="D40" t="str">
        <f>IF(TRIM(Raw_Data!D40)="Bangalore","Bengaluru",IF(TRIM(Raw_Data!D40)="Mysore","Mysuru",IF(TRIM(Raw_Data!D40)="Cochin","Kochi",PROPER(TRIM(Raw_Data!D40)))))</f>
        <v>Kochi</v>
      </c>
      <c r="E40" t="str">
        <f>PROPER(TRIM(Raw_Data!E40))</f>
        <v>Retail Store</v>
      </c>
      <c r="F40" t="str">
        <f>PROPER(TRIM(Raw_Data!F40))</f>
        <v>Smb</v>
      </c>
      <c r="G40" t="str">
        <f>PROPER(TRIM(Raw_Data!G40))</f>
        <v>Monitor</v>
      </c>
      <c r="H40" t="str">
        <f>PROPER(TRIM(Raw_Data!H40))</f>
        <v>Monitor 24</v>
      </c>
      <c r="I40">
        <f>IFERROR(MAX(0,VALUE(Raw_Data!I40)),0)</f>
        <v>5</v>
      </c>
      <c r="J40" s="13">
        <f>IFERROR(VALUE(Raw_Data!J40),0)</f>
        <v>20985</v>
      </c>
      <c r="K40" s="14">
        <f>IFERROR(VALUE(Raw_Data!K40),0)</f>
        <v>0.1</v>
      </c>
      <c r="L40" t="str">
        <f>PROPER(TRIM(Raw_Data!L40))</f>
        <v>Delivered</v>
      </c>
      <c r="M40" s="13">
        <f t="shared" si="0"/>
        <v>104925</v>
      </c>
      <c r="N40" s="13">
        <f t="shared" si="1"/>
        <v>10492.5</v>
      </c>
      <c r="O40" s="13">
        <f t="shared" si="2"/>
        <v>94432.5</v>
      </c>
      <c r="P40" s="13">
        <f t="shared" si="3"/>
        <v>73447.5</v>
      </c>
      <c r="Q40" s="13">
        <f t="shared" si="4"/>
        <v>20985</v>
      </c>
      <c r="R40" s="10">
        <f t="shared" si="5"/>
        <v>0.222222222222222</v>
      </c>
      <c r="S40" t="str">
        <f t="shared" si="6"/>
        <v>Jan-2026</v>
      </c>
      <c r="T40" t="str">
        <f t="shared" si="7"/>
        <v>OK</v>
      </c>
    </row>
    <row r="41" spans="1:20">
      <c r="A41" t="str">
        <f>TRIM(Raw_Data!A41)</f>
        <v>ORD-10040</v>
      </c>
      <c r="B41" s="12">
        <f>IFERROR(IF(ISNUMBER(Raw_Data!B41),Raw_Data!B41,DATEVALUE(Raw_Data!B41)),"")</f>
        <v>46058</v>
      </c>
      <c r="C41" t="str">
        <f>PROPER(TRIM(Raw_Data!C41))</f>
        <v>Kiran</v>
      </c>
      <c r="D41" t="str">
        <f>IF(TRIM(Raw_Data!D41)="Bangalore","Bengaluru",IF(TRIM(Raw_Data!D41)="Mysore","Mysuru",IF(TRIM(Raw_Data!D41)="Cochin","Kochi",PROPER(TRIM(Raw_Data!D41)))))</f>
        <v>Mumbai</v>
      </c>
      <c r="E41" t="str">
        <f>PROPER(TRIM(Raw_Data!E41))</f>
        <v>Retail Store</v>
      </c>
      <c r="F41" t="str">
        <f>PROPER(TRIM(Raw_Data!F41))</f>
        <v>Enterprise</v>
      </c>
      <c r="G41" t="str">
        <f>PROPER(TRIM(Raw_Data!G41))</f>
        <v>Laptop</v>
      </c>
      <c r="H41" t="str">
        <f>PROPER(TRIM(Raw_Data!H41))</f>
        <v>Laptop Pro 14</v>
      </c>
      <c r="I41">
        <f>IFERROR(MAX(0,VALUE(Raw_Data!I41)),0)</f>
        <v>3</v>
      </c>
      <c r="J41" s="13">
        <f>IFERROR(VALUE(Raw_Data!J41),0)</f>
        <v>77284</v>
      </c>
      <c r="K41" s="14">
        <f>IFERROR(VALUE(Raw_Data!K41),0)</f>
        <v>0.08</v>
      </c>
      <c r="L41" t="str">
        <f>PROPER(TRIM(Raw_Data!L41))</f>
        <v>Pending</v>
      </c>
      <c r="M41" s="13">
        <f t="shared" si="0"/>
        <v>231852</v>
      </c>
      <c r="N41" s="13">
        <f t="shared" si="1"/>
        <v>18548.16</v>
      </c>
      <c r="O41" s="13">
        <f t="shared" si="2"/>
        <v>213303.84</v>
      </c>
      <c r="P41" s="13">
        <f t="shared" si="3"/>
        <v>180844.56</v>
      </c>
      <c r="Q41" s="13">
        <f t="shared" si="4"/>
        <v>32459.28</v>
      </c>
      <c r="R41" s="10">
        <f t="shared" si="5"/>
        <v>0.152173913043478</v>
      </c>
      <c r="S41" t="str">
        <f t="shared" si="6"/>
        <v>Feb-2026</v>
      </c>
      <c r="T41" t="str">
        <f t="shared" si="7"/>
        <v>OK</v>
      </c>
    </row>
    <row r="42" spans="1:20">
      <c r="A42" t="str">
        <f>TRIM(Raw_Data!A42)</f>
        <v>ORD-10041</v>
      </c>
      <c r="B42" s="12">
        <f>IFERROR(IF(ISNUMBER(Raw_Data!B42),Raw_Data!B42,DATEVALUE(Raw_Data!B42)),"")</f>
        <v>46162</v>
      </c>
      <c r="C42" t="str">
        <f>PROPER(TRIM(Raw_Data!C42))</f>
        <v>Asha</v>
      </c>
      <c r="D42" t="str">
        <f>IF(TRIM(Raw_Data!D42)="Bangalore","Bengaluru",IF(TRIM(Raw_Data!D42)="Mysore","Mysuru",IF(TRIM(Raw_Data!D42)="Cochin","Kochi",PROPER(TRIM(Raw_Data!D42)))))</f>
        <v>Kochi</v>
      </c>
      <c r="E42" t="str">
        <f>PROPER(TRIM(Raw_Data!E42))</f>
        <v>Online</v>
      </c>
      <c r="F42" t="str">
        <f>PROPER(TRIM(Raw_Data!F42))</f>
        <v>Smb</v>
      </c>
      <c r="G42" t="str">
        <f>PROPER(TRIM(Raw_Data!G42))</f>
        <v>Keyboard</v>
      </c>
      <c r="H42" t="str">
        <f>PROPER(TRIM(Raw_Data!H42))</f>
        <v>Keyboard Wireless</v>
      </c>
      <c r="I42">
        <f>IFERROR(MAX(0,VALUE(Raw_Data!I42)),0)</f>
        <v>4</v>
      </c>
      <c r="J42" s="13">
        <f>IFERROR(VALUE(Raw_Data!J42),0)</f>
        <v>2200</v>
      </c>
      <c r="K42" s="14">
        <f>IFERROR(VALUE(Raw_Data!K42),0)</f>
        <v>0.15</v>
      </c>
      <c r="L42" t="str">
        <f>PROPER(TRIM(Raw_Data!L42))</f>
        <v>Returned</v>
      </c>
      <c r="M42" s="13">
        <f t="shared" si="0"/>
        <v>8800</v>
      </c>
      <c r="N42" s="13">
        <f t="shared" si="1"/>
        <v>1320</v>
      </c>
      <c r="O42" s="13">
        <f t="shared" si="2"/>
        <v>7480</v>
      </c>
      <c r="P42" s="13">
        <f t="shared" si="3"/>
        <v>5104</v>
      </c>
      <c r="Q42" s="13">
        <f t="shared" si="4"/>
        <v>2376</v>
      </c>
      <c r="R42" s="10">
        <f t="shared" si="5"/>
        <v>0.317647058823529</v>
      </c>
      <c r="S42" t="str">
        <f t="shared" si="6"/>
        <v>May-2026</v>
      </c>
      <c r="T42" t="str">
        <f t="shared" si="7"/>
        <v>OK</v>
      </c>
    </row>
    <row r="43" spans="1:20">
      <c r="A43" t="str">
        <f>TRIM(Raw_Data!A43)</f>
        <v>ORD-10042</v>
      </c>
      <c r="B43" s="12">
        <f>IFERROR(IF(ISNUMBER(Raw_Data!B43),Raw_Data!B43,DATEVALUE(Raw_Data!B43)),"")</f>
        <v>46060</v>
      </c>
      <c r="C43" t="str">
        <f>PROPER(TRIM(Raw_Data!C43))</f>
        <v>Priya</v>
      </c>
      <c r="D43" t="str">
        <f>IF(TRIM(Raw_Data!D43)="Bangalore","Bengaluru",IF(TRIM(Raw_Data!D43)="Mysore","Mysuru",IF(TRIM(Raw_Data!D43)="Cochin","Kochi",PROPER(TRIM(Raw_Data!D43)))))</f>
        <v>Mumbai</v>
      </c>
      <c r="E43" t="str">
        <f>PROPER(TRIM(Raw_Data!E43))</f>
        <v>Retail Store</v>
      </c>
      <c r="F43" t="str">
        <f>PROPER(TRIM(Raw_Data!F43))</f>
        <v>Consumer</v>
      </c>
      <c r="G43" t="str">
        <f>PROPER(TRIM(Raw_Data!G43))</f>
        <v>Monitor</v>
      </c>
      <c r="H43" t="str">
        <f>PROPER(TRIM(Raw_Data!H43))</f>
        <v>Monitor 32</v>
      </c>
      <c r="I43">
        <f>IFERROR(MAX(0,VALUE(Raw_Data!I43)),0)</f>
        <v>6</v>
      </c>
      <c r="J43" s="13">
        <f>IFERROR(VALUE(Raw_Data!J43),0)</f>
        <v>12602</v>
      </c>
      <c r="K43" s="14">
        <f>IFERROR(VALUE(Raw_Data!K43),0)</f>
        <v>0.02</v>
      </c>
      <c r="L43" t="str">
        <f>PROPER(TRIM(Raw_Data!L43))</f>
        <v>Cancelled</v>
      </c>
      <c r="M43" s="13">
        <f t="shared" si="0"/>
        <v>75612</v>
      </c>
      <c r="N43" s="13">
        <f t="shared" si="1"/>
        <v>1512.24</v>
      </c>
      <c r="O43" s="13">
        <f t="shared" si="2"/>
        <v>74099.76</v>
      </c>
      <c r="P43" s="13">
        <f t="shared" si="3"/>
        <v>52928.4</v>
      </c>
      <c r="Q43" s="13">
        <f t="shared" si="4"/>
        <v>21171.36</v>
      </c>
      <c r="R43" s="10">
        <f t="shared" si="5"/>
        <v>0.285714285714286</v>
      </c>
      <c r="S43" t="str">
        <f t="shared" si="6"/>
        <v>Feb-2026</v>
      </c>
      <c r="T43" t="str">
        <f t="shared" si="7"/>
        <v>OK</v>
      </c>
    </row>
    <row r="44" spans="1:20">
      <c r="A44" t="str">
        <f>TRIM(Raw_Data!A44)</f>
        <v>ORD-10043</v>
      </c>
      <c r="B44" s="12">
        <f>IFERROR(IF(ISNUMBER(Raw_Data!B44),Raw_Data!B44,DATEVALUE(Raw_Data!B44)),"")</f>
        <v>46244</v>
      </c>
      <c r="C44" t="str">
        <f>PROPER(TRIM(Raw_Data!C44))</f>
        <v>Ravi</v>
      </c>
      <c r="D44" t="str">
        <f>IF(TRIM(Raw_Data!D44)="Bangalore","Bengaluru",IF(TRIM(Raw_Data!D44)="Mysore","Mysuru",IF(TRIM(Raw_Data!D44)="Cochin","Kochi",PROPER(TRIM(Raw_Data!D44)))))</f>
        <v>Mysuru</v>
      </c>
      <c r="E44" t="str">
        <f>PROPER(TRIM(Raw_Data!E44))</f>
        <v>Online</v>
      </c>
      <c r="F44" t="str">
        <f>PROPER(TRIM(Raw_Data!F44))</f>
        <v>Enterprise</v>
      </c>
      <c r="G44" t="str">
        <f>PROPER(TRIM(Raw_Data!G44))</f>
        <v>Headset</v>
      </c>
      <c r="H44" t="str">
        <f>PROPER(TRIM(Raw_Data!H44))</f>
        <v>Headset Wireless</v>
      </c>
      <c r="I44">
        <f>IFERROR(MAX(0,VALUE(Raw_Data!I44)),0)</f>
        <v>2</v>
      </c>
      <c r="J44" s="13">
        <f>IFERROR(VALUE(Raw_Data!J44),0)</f>
        <v>4992</v>
      </c>
      <c r="K44" s="14">
        <f>IFERROR(VALUE(Raw_Data!K44),0)</f>
        <v>0.08</v>
      </c>
      <c r="L44" t="str">
        <f>PROPER(TRIM(Raw_Data!L44))</f>
        <v>Returned</v>
      </c>
      <c r="M44" s="13">
        <f t="shared" si="0"/>
        <v>9984</v>
      </c>
      <c r="N44" s="13">
        <f t="shared" si="1"/>
        <v>798.72</v>
      </c>
      <c r="O44" s="13">
        <f t="shared" si="2"/>
        <v>9185.28</v>
      </c>
      <c r="P44" s="13">
        <f t="shared" si="3"/>
        <v>5990.4</v>
      </c>
      <c r="Q44" s="13">
        <f t="shared" si="4"/>
        <v>3194.88</v>
      </c>
      <c r="R44" s="10">
        <f t="shared" si="5"/>
        <v>0.347826086956522</v>
      </c>
      <c r="S44" t="str">
        <f t="shared" si="6"/>
        <v>Aug-2026</v>
      </c>
      <c r="T44" t="str">
        <f t="shared" si="7"/>
        <v>OK</v>
      </c>
    </row>
    <row r="45" spans="1:20">
      <c r="A45" t="str">
        <f>TRIM(Raw_Data!A45)</f>
        <v>ORD-10044</v>
      </c>
      <c r="B45" s="12">
        <f>IFERROR(IF(ISNUMBER(Raw_Data!B45),Raw_Data!B45,DATEVALUE(Raw_Data!B45)),"")</f>
        <v>46190</v>
      </c>
      <c r="C45" t="str">
        <f>PROPER(TRIM(Raw_Data!C45))</f>
        <v>Arjun</v>
      </c>
      <c r="D45" t="str">
        <f>IF(TRIM(Raw_Data!D45)="Bangalore","Bengaluru",IF(TRIM(Raw_Data!D45)="Mysore","Mysuru",IF(TRIM(Raw_Data!D45)="Cochin","Kochi",PROPER(TRIM(Raw_Data!D45)))))</f>
        <v>Pune</v>
      </c>
      <c r="E45" t="str">
        <f>PROPER(TRIM(Raw_Data!E45))</f>
        <v>Retail Store</v>
      </c>
      <c r="F45" t="str">
        <f>PROPER(TRIM(Raw_Data!F45))</f>
        <v>Consumer</v>
      </c>
      <c r="G45" t="str">
        <f>PROPER(TRIM(Raw_Data!G45))</f>
        <v>Headset</v>
      </c>
      <c r="H45" t="str">
        <f>PROPER(TRIM(Raw_Data!H45))</f>
        <v>Headset Office</v>
      </c>
      <c r="I45">
        <f>IFERROR(MAX(0,VALUE(Raw_Data!I45)),0)</f>
        <v>8</v>
      </c>
      <c r="J45" s="13">
        <f>IFERROR(VALUE(Raw_Data!J45),0)</f>
        <v>4276</v>
      </c>
      <c r="K45" s="14">
        <f>IFERROR(VALUE(Raw_Data!K45),0)</f>
        <v>0.08</v>
      </c>
      <c r="L45" t="str">
        <f>PROPER(TRIM(Raw_Data!L45))</f>
        <v>Pending</v>
      </c>
      <c r="M45" s="13">
        <f t="shared" si="0"/>
        <v>34208</v>
      </c>
      <c r="N45" s="13">
        <f t="shared" si="1"/>
        <v>2736.64</v>
      </c>
      <c r="O45" s="13">
        <f t="shared" si="2"/>
        <v>31471.36</v>
      </c>
      <c r="P45" s="13">
        <f t="shared" si="3"/>
        <v>20524.8</v>
      </c>
      <c r="Q45" s="13">
        <f t="shared" si="4"/>
        <v>10946.56</v>
      </c>
      <c r="R45" s="10">
        <f t="shared" si="5"/>
        <v>0.347826086956522</v>
      </c>
      <c r="S45" t="str">
        <f t="shared" si="6"/>
        <v>Jun-2026</v>
      </c>
      <c r="T45" t="str">
        <f t="shared" si="7"/>
        <v>OK</v>
      </c>
    </row>
    <row r="46" spans="1:20">
      <c r="A46" t="str">
        <f>TRIM(Raw_Data!A46)</f>
        <v>ORD-10045</v>
      </c>
      <c r="B46" s="12">
        <f>IFERROR(IF(ISNUMBER(Raw_Data!B46),Raw_Data!B46,DATEVALUE(Raw_Data!B46)),"")</f>
        <v>46166</v>
      </c>
      <c r="C46" t="str">
        <f>PROPER(TRIM(Raw_Data!C46))</f>
        <v>Meghana</v>
      </c>
      <c r="D46" t="str">
        <f>IF(TRIM(Raw_Data!D46)="Bangalore","Bengaluru",IF(TRIM(Raw_Data!D46)="Mysore","Mysuru",IF(TRIM(Raw_Data!D46)="Cochin","Kochi",PROPER(TRIM(Raw_Data!D46)))))</f>
        <v>Chennai</v>
      </c>
      <c r="E46" t="str">
        <f>PROPER(TRIM(Raw_Data!E46))</f>
        <v>Online</v>
      </c>
      <c r="F46" t="str">
        <f>PROPER(TRIM(Raw_Data!F46))</f>
        <v>Consumer</v>
      </c>
      <c r="G46" t="str">
        <f>PROPER(TRIM(Raw_Data!G46))</f>
        <v>Headset</v>
      </c>
      <c r="H46" t="str">
        <f>PROPER(TRIM(Raw_Data!H46))</f>
        <v>Headset Wireless</v>
      </c>
      <c r="I46">
        <f>IFERROR(MAX(0,VALUE(Raw_Data!I46)),0)</f>
        <v>5</v>
      </c>
      <c r="J46" s="13">
        <f>IFERROR(VALUE(Raw_Data!J46),0)</f>
        <v>3856</v>
      </c>
      <c r="K46" s="14">
        <f>IFERROR(VALUE(Raw_Data!K46),0)</f>
        <v>0.05</v>
      </c>
      <c r="L46" t="str">
        <f>PROPER(TRIM(Raw_Data!L46))</f>
        <v>Delivered</v>
      </c>
      <c r="M46" s="13">
        <f t="shared" si="0"/>
        <v>19280</v>
      </c>
      <c r="N46" s="13">
        <f t="shared" si="1"/>
        <v>964</v>
      </c>
      <c r="O46" s="13">
        <f t="shared" si="2"/>
        <v>18316</v>
      </c>
      <c r="P46" s="13">
        <f t="shared" si="3"/>
        <v>11568</v>
      </c>
      <c r="Q46" s="13">
        <f t="shared" si="4"/>
        <v>6748</v>
      </c>
      <c r="R46" s="10">
        <f t="shared" si="5"/>
        <v>0.368421052631579</v>
      </c>
      <c r="S46" t="str">
        <f t="shared" si="6"/>
        <v>May-2026</v>
      </c>
      <c r="T46" t="str">
        <f t="shared" si="7"/>
        <v>OK</v>
      </c>
    </row>
    <row r="47" spans="1:20">
      <c r="A47" t="str">
        <f>TRIM(Raw_Data!A47)</f>
        <v>ORD-10046</v>
      </c>
      <c r="B47" s="12">
        <f>IFERROR(IF(ISNUMBER(Raw_Data!B47),Raw_Data!B47,DATEVALUE(Raw_Data!B47)),"")</f>
        <v>46029</v>
      </c>
      <c r="C47" t="str">
        <f>PROPER(TRIM(Raw_Data!C47))</f>
        <v>Kiran</v>
      </c>
      <c r="D47" t="str">
        <f>IF(TRIM(Raw_Data!D47)="Bangalore","Bengaluru",IF(TRIM(Raw_Data!D47)="Mysore","Mysuru",IF(TRIM(Raw_Data!D47)="Cochin","Kochi",PROPER(TRIM(Raw_Data!D47)))))</f>
        <v>Mumbai</v>
      </c>
      <c r="E47" t="str">
        <f>PROPER(TRIM(Raw_Data!E47))</f>
        <v>Online</v>
      </c>
      <c r="F47" t="str">
        <f>PROPER(TRIM(Raw_Data!F47))</f>
        <v>Consumer</v>
      </c>
      <c r="G47" t="str">
        <f>PROPER(TRIM(Raw_Data!G47))</f>
        <v>Headset</v>
      </c>
      <c r="H47" t="str">
        <f>PROPER(TRIM(Raw_Data!H47))</f>
        <v>Headset Office</v>
      </c>
      <c r="I47">
        <f>IFERROR(MAX(0,VALUE(Raw_Data!I47)),0)</f>
        <v>6</v>
      </c>
      <c r="J47" s="13">
        <f>IFERROR(VALUE(Raw_Data!J47),0)</f>
        <v>4283</v>
      </c>
      <c r="K47" s="14">
        <f>IFERROR(VALUE(Raw_Data!K47),0)</f>
        <v>0</v>
      </c>
      <c r="L47" t="str">
        <f>PROPER(TRIM(Raw_Data!L47))</f>
        <v>Delivered</v>
      </c>
      <c r="M47" s="13">
        <f t="shared" si="0"/>
        <v>25698</v>
      </c>
      <c r="N47" s="13">
        <f t="shared" si="1"/>
        <v>0</v>
      </c>
      <c r="O47" s="13">
        <f t="shared" si="2"/>
        <v>25698</v>
      </c>
      <c r="P47" s="13">
        <f t="shared" si="3"/>
        <v>15418.8</v>
      </c>
      <c r="Q47" s="13">
        <f t="shared" si="4"/>
        <v>10279.2</v>
      </c>
      <c r="R47" s="10">
        <f t="shared" si="5"/>
        <v>0.4</v>
      </c>
      <c r="S47" t="str">
        <f t="shared" si="6"/>
        <v>Jan-2026</v>
      </c>
      <c r="T47" t="str">
        <f t="shared" si="7"/>
        <v>OK</v>
      </c>
    </row>
    <row r="48" spans="1:20">
      <c r="A48" t="str">
        <f>TRIM(Raw_Data!A48)</f>
        <v>ORD-10047</v>
      </c>
      <c r="B48" s="12">
        <f>IFERROR(IF(ISNUMBER(Raw_Data!B48),Raw_Data!B48,DATEVALUE(Raw_Data!B48)),"")</f>
        <v>46062</v>
      </c>
      <c r="C48" t="str">
        <f>PROPER(TRIM(Raw_Data!C48))</f>
        <v>Meghana</v>
      </c>
      <c r="D48" t="str">
        <f>IF(TRIM(Raw_Data!D48)="Bangalore","Bengaluru",IF(TRIM(Raw_Data!D48)="Mysore","Mysuru",IF(TRIM(Raw_Data!D48)="Cochin","Kochi",PROPER(TRIM(Raw_Data!D48)))))</f>
        <v>Bengaluru</v>
      </c>
      <c r="E48" t="str">
        <f>PROPER(TRIM(Raw_Data!E48))</f>
        <v>Retail Store</v>
      </c>
      <c r="F48" t="str">
        <f>PROPER(TRIM(Raw_Data!F48))</f>
        <v>Consumer</v>
      </c>
      <c r="G48" t="str">
        <f>PROPER(TRIM(Raw_Data!G48))</f>
        <v>Monitor</v>
      </c>
      <c r="H48" t="str">
        <f>PROPER(TRIM(Raw_Data!H48))</f>
        <v>Monitor 32</v>
      </c>
      <c r="I48">
        <f>IFERROR(MAX(0,VALUE(Raw_Data!I48)),0)</f>
        <v>8</v>
      </c>
      <c r="J48" s="13">
        <f>IFERROR(VALUE(Raw_Data!J48),0)</f>
        <v>17916</v>
      </c>
      <c r="K48" s="14">
        <f>IFERROR(VALUE(Raw_Data!K48),0)</f>
        <v>0.1</v>
      </c>
      <c r="L48" t="str">
        <f>PROPER(TRIM(Raw_Data!L48))</f>
        <v>Pending</v>
      </c>
      <c r="M48" s="13">
        <f t="shared" si="0"/>
        <v>143328</v>
      </c>
      <c r="N48" s="13">
        <f t="shared" si="1"/>
        <v>14332.8</v>
      </c>
      <c r="O48" s="13">
        <f t="shared" si="2"/>
        <v>128995.2</v>
      </c>
      <c r="P48" s="13">
        <f t="shared" si="3"/>
        <v>100329.6</v>
      </c>
      <c r="Q48" s="13">
        <f t="shared" si="4"/>
        <v>28665.6</v>
      </c>
      <c r="R48" s="10">
        <f t="shared" si="5"/>
        <v>0.222222222222222</v>
      </c>
      <c r="S48" t="str">
        <f t="shared" si="6"/>
        <v>Feb-2026</v>
      </c>
      <c r="T48" t="str">
        <f t="shared" si="7"/>
        <v>OK</v>
      </c>
    </row>
    <row r="49" spans="1:20">
      <c r="A49" t="str">
        <f>TRIM(Raw_Data!A49)</f>
        <v>ORD-10048</v>
      </c>
      <c r="B49" s="12">
        <f>IFERROR(IF(ISNUMBER(Raw_Data!B49),Raw_Data!B49,DATEVALUE(Raw_Data!B49)),"")</f>
        <v>46219</v>
      </c>
      <c r="C49" t="str">
        <f>PROPER(TRIM(Raw_Data!C49))</f>
        <v>Meghana</v>
      </c>
      <c r="D49" t="str">
        <f>IF(TRIM(Raw_Data!D49)="Bangalore","Bengaluru",IF(TRIM(Raw_Data!D49)="Mysore","Mysuru",IF(TRIM(Raw_Data!D49)="Cochin","Kochi",PROPER(TRIM(Raw_Data!D49)))))</f>
        <v>Mumbai</v>
      </c>
      <c r="E49" t="str">
        <f>PROPER(TRIM(Raw_Data!E49))</f>
        <v>Retail Store</v>
      </c>
      <c r="F49" t="str">
        <f>PROPER(TRIM(Raw_Data!F49))</f>
        <v>Consumer</v>
      </c>
      <c r="G49" t="str">
        <f>PROPER(TRIM(Raw_Data!G49))</f>
        <v>Monitor</v>
      </c>
      <c r="H49" t="str">
        <f>PROPER(TRIM(Raw_Data!H49))</f>
        <v>Monitor 27</v>
      </c>
      <c r="I49">
        <f>IFERROR(MAX(0,VALUE(Raw_Data!I49)),0)</f>
        <v>3</v>
      </c>
      <c r="J49" s="13">
        <f>IFERROR(VALUE(Raw_Data!J49),0)</f>
        <v>12931</v>
      </c>
      <c r="K49" s="14">
        <f>IFERROR(VALUE(Raw_Data!K49),0)</f>
        <v>0.02</v>
      </c>
      <c r="L49" t="str">
        <f>PROPER(TRIM(Raw_Data!L49))</f>
        <v>Pending</v>
      </c>
      <c r="M49" s="13">
        <f t="shared" si="0"/>
        <v>38793</v>
      </c>
      <c r="N49" s="13">
        <f t="shared" si="1"/>
        <v>775.86</v>
      </c>
      <c r="O49" s="13">
        <f t="shared" si="2"/>
        <v>38017.14</v>
      </c>
      <c r="P49" s="13">
        <f t="shared" si="3"/>
        <v>27155.1</v>
      </c>
      <c r="Q49" s="13">
        <f t="shared" si="4"/>
        <v>10862.04</v>
      </c>
      <c r="R49" s="10">
        <f t="shared" si="5"/>
        <v>0.285714285714286</v>
      </c>
      <c r="S49" t="str">
        <f t="shared" si="6"/>
        <v>Jul-2026</v>
      </c>
      <c r="T49" t="str">
        <f t="shared" si="7"/>
        <v>OK</v>
      </c>
    </row>
    <row r="50" spans="1:20">
      <c r="A50" t="str">
        <f>TRIM(Raw_Data!A50)</f>
        <v>ORD-10049</v>
      </c>
      <c r="B50" s="12">
        <f>IFERROR(IF(ISNUMBER(Raw_Data!B50),Raw_Data!B50,DATEVALUE(Raw_Data!B50)),"")</f>
        <v>46126</v>
      </c>
      <c r="C50" t="str">
        <f>PROPER(TRIM(Raw_Data!C50))</f>
        <v>Ravi</v>
      </c>
      <c r="D50" t="str">
        <f>IF(TRIM(Raw_Data!D50)="Bangalore","Bengaluru",IF(TRIM(Raw_Data!D50)="Mysore","Mysuru",IF(TRIM(Raw_Data!D50)="Cochin","Kochi",PROPER(TRIM(Raw_Data!D50)))))</f>
        <v>Hyderabad</v>
      </c>
      <c r="E50" t="str">
        <f>PROPER(TRIM(Raw_Data!E50))</f>
        <v>Retail Store</v>
      </c>
      <c r="F50" t="str">
        <f>PROPER(TRIM(Raw_Data!F50))</f>
        <v>Smb</v>
      </c>
      <c r="G50" t="str">
        <f>PROPER(TRIM(Raw_Data!G50))</f>
        <v>Laptop</v>
      </c>
      <c r="H50" t="str">
        <f>PROPER(TRIM(Raw_Data!H50))</f>
        <v>Laptop Air 13</v>
      </c>
      <c r="I50">
        <f>IFERROR(MAX(0,VALUE(Raw_Data!I50)),0)</f>
        <v>4</v>
      </c>
      <c r="J50" s="13">
        <f>IFERROR(VALUE(Raw_Data!J50),0)</f>
        <v>75152</v>
      </c>
      <c r="K50" s="14">
        <f>IFERROR(VALUE(Raw_Data!K50),0)</f>
        <v>0.08</v>
      </c>
      <c r="L50" t="str">
        <f>PROPER(TRIM(Raw_Data!L50))</f>
        <v>Cancelled</v>
      </c>
      <c r="M50" s="13">
        <f t="shared" si="0"/>
        <v>300608</v>
      </c>
      <c r="N50" s="13">
        <f t="shared" si="1"/>
        <v>24048.64</v>
      </c>
      <c r="O50" s="13">
        <f t="shared" si="2"/>
        <v>276559.36</v>
      </c>
      <c r="P50" s="13">
        <f t="shared" si="3"/>
        <v>234474.24</v>
      </c>
      <c r="Q50" s="13">
        <f t="shared" si="4"/>
        <v>42085.12</v>
      </c>
      <c r="R50" s="10">
        <f t="shared" si="5"/>
        <v>0.152173913043478</v>
      </c>
      <c r="S50" t="str">
        <f t="shared" si="6"/>
        <v>Apr-2026</v>
      </c>
      <c r="T50" t="str">
        <f t="shared" si="7"/>
        <v>OK</v>
      </c>
    </row>
    <row r="51" spans="1:20">
      <c r="A51" t="str">
        <f>TRIM(Raw_Data!A51)</f>
        <v>ORD-10050</v>
      </c>
      <c r="B51" s="12">
        <f>IFERROR(IF(ISNUMBER(Raw_Data!B51),Raw_Data!B51,DATEVALUE(Raw_Data!B51)),"")</f>
        <v>46049</v>
      </c>
      <c r="C51" t="str">
        <f>PROPER(TRIM(Raw_Data!C51))</f>
        <v>Neha</v>
      </c>
      <c r="D51" t="str">
        <f>IF(TRIM(Raw_Data!D51)="Bangalore","Bengaluru",IF(TRIM(Raw_Data!D51)="Mysore","Mysuru",IF(TRIM(Raw_Data!D51)="Cochin","Kochi",PROPER(TRIM(Raw_Data!D51)))))</f>
        <v>Pune</v>
      </c>
      <c r="E51" t="str">
        <f>PROPER(TRIM(Raw_Data!E51))</f>
        <v>Corporate</v>
      </c>
      <c r="F51" t="str">
        <f>PROPER(TRIM(Raw_Data!F51))</f>
        <v>Consumer</v>
      </c>
      <c r="G51" t="str">
        <f>PROPER(TRIM(Raw_Data!G51))</f>
        <v>Monitor</v>
      </c>
      <c r="H51" t="str">
        <f>PROPER(TRIM(Raw_Data!H51))</f>
        <v>Monitor 27</v>
      </c>
      <c r="I51">
        <f>IFERROR(MAX(0,VALUE(Raw_Data!I51)),0)</f>
        <v>8</v>
      </c>
      <c r="J51" s="13">
        <f>IFERROR(VALUE(Raw_Data!J51),0)</f>
        <v>14009</v>
      </c>
      <c r="K51" s="14">
        <f>IFERROR(VALUE(Raw_Data!K51),0)</f>
        <v>0.08</v>
      </c>
      <c r="L51" t="str">
        <f>PROPER(TRIM(Raw_Data!L51))</f>
        <v>Cancelled</v>
      </c>
      <c r="M51" s="13">
        <f t="shared" si="0"/>
        <v>112072</v>
      </c>
      <c r="N51" s="13">
        <f t="shared" si="1"/>
        <v>8965.76</v>
      </c>
      <c r="O51" s="13">
        <f t="shared" si="2"/>
        <v>103106.24</v>
      </c>
      <c r="P51" s="13">
        <f t="shared" si="3"/>
        <v>78450.4</v>
      </c>
      <c r="Q51" s="13">
        <f t="shared" si="4"/>
        <v>24655.84</v>
      </c>
      <c r="R51" s="10">
        <f t="shared" si="5"/>
        <v>0.239130434782609</v>
      </c>
      <c r="S51" t="str">
        <f t="shared" si="6"/>
        <v>Jan-2026</v>
      </c>
      <c r="T51" t="str">
        <f t="shared" si="7"/>
        <v>OK</v>
      </c>
    </row>
    <row r="52" spans="1:20">
      <c r="A52" t="str">
        <f>TRIM(Raw_Data!A52)</f>
        <v>ORD-10051</v>
      </c>
      <c r="B52" s="12">
        <f>IFERROR(IF(ISNUMBER(Raw_Data!B52),Raw_Data!B52,DATEVALUE(Raw_Data!B52)),"")</f>
        <v>46102</v>
      </c>
      <c r="C52" t="str">
        <f>PROPER(TRIM(Raw_Data!C52))</f>
        <v>Neha</v>
      </c>
      <c r="D52" t="str">
        <f>IF(TRIM(Raw_Data!D52)="Bangalore","Bengaluru",IF(TRIM(Raw_Data!D52)="Mysore","Mysuru",IF(TRIM(Raw_Data!D52)="Cochin","Kochi",PROPER(TRIM(Raw_Data!D52)))))</f>
        <v>Bengaluru</v>
      </c>
      <c r="E52" t="str">
        <f>PROPER(TRIM(Raw_Data!E52))</f>
        <v>Corporate</v>
      </c>
      <c r="F52" t="str">
        <f>PROPER(TRIM(Raw_Data!F52))</f>
        <v>Enterprise</v>
      </c>
      <c r="G52" t="str">
        <f>PROPER(TRIM(Raw_Data!G52))</f>
        <v>Mouse</v>
      </c>
      <c r="H52" t="str">
        <f>PROPER(TRIM(Raw_Data!H52))</f>
        <v>Mouse Ergonomic</v>
      </c>
      <c r="I52">
        <f>IFERROR(MAX(0,VALUE(Raw_Data!I52)),0)</f>
        <v>2</v>
      </c>
      <c r="J52" s="13">
        <f>IFERROR(VALUE(Raw_Data!J52),0)</f>
        <v>1014</v>
      </c>
      <c r="K52" s="14">
        <f>IFERROR(VALUE(Raw_Data!K52),0)</f>
        <v>0.1</v>
      </c>
      <c r="L52" t="str">
        <f>PROPER(TRIM(Raw_Data!L52))</f>
        <v>Cancelled</v>
      </c>
      <c r="M52" s="13">
        <f t="shared" si="0"/>
        <v>2028</v>
      </c>
      <c r="N52" s="13">
        <f t="shared" si="1"/>
        <v>202.8</v>
      </c>
      <c r="O52" s="13">
        <f t="shared" si="2"/>
        <v>1825.2</v>
      </c>
      <c r="P52" s="13">
        <f t="shared" si="3"/>
        <v>1115.4</v>
      </c>
      <c r="Q52" s="13">
        <f t="shared" si="4"/>
        <v>709.8</v>
      </c>
      <c r="R52" s="10">
        <f t="shared" si="5"/>
        <v>0.388888888888889</v>
      </c>
      <c r="S52" t="str">
        <f t="shared" si="6"/>
        <v>Mar-2026</v>
      </c>
      <c r="T52" t="str">
        <f t="shared" si="7"/>
        <v>OK</v>
      </c>
    </row>
    <row r="53" spans="1:20">
      <c r="A53" t="str">
        <f>TRIM(Raw_Data!A53)</f>
        <v>ORD-10052</v>
      </c>
      <c r="B53" s="12">
        <f>IFERROR(IF(ISNUMBER(Raw_Data!B53),Raw_Data!B53,DATEVALUE(Raw_Data!B53)),"")</f>
        <v>46110</v>
      </c>
      <c r="C53" t="str">
        <f>PROPER(TRIM(Raw_Data!C53))</f>
        <v>Kiran</v>
      </c>
      <c r="D53" t="str">
        <f>IF(TRIM(Raw_Data!D53)="Bangalore","Bengaluru",IF(TRIM(Raw_Data!D53)="Mysore","Mysuru",IF(TRIM(Raw_Data!D53)="Cochin","Kochi",PROPER(TRIM(Raw_Data!D53)))))</f>
        <v>Hyderabad</v>
      </c>
      <c r="E53" t="str">
        <f>PROPER(TRIM(Raw_Data!E53))</f>
        <v>Corporate</v>
      </c>
      <c r="F53" t="str">
        <f>PROPER(TRIM(Raw_Data!F53))</f>
        <v>Consumer</v>
      </c>
      <c r="G53" t="str">
        <f>PROPER(TRIM(Raw_Data!G53))</f>
        <v>Laptop</v>
      </c>
      <c r="H53" t="str">
        <f>PROPER(TRIM(Raw_Data!H53))</f>
        <v>Business Laptop 15</v>
      </c>
      <c r="I53">
        <f>IFERROR(MAX(0,VALUE(Raw_Data!I53)),0)</f>
        <v>3</v>
      </c>
      <c r="J53" s="13">
        <f>IFERROR(VALUE(Raw_Data!J53),0)</f>
        <v>47565</v>
      </c>
      <c r="K53" s="14">
        <f>IFERROR(VALUE(Raw_Data!K53),0)</f>
        <v>0.05</v>
      </c>
      <c r="L53" t="str">
        <f>PROPER(TRIM(Raw_Data!L53))</f>
        <v>Delivered</v>
      </c>
      <c r="M53" s="13">
        <f t="shared" si="0"/>
        <v>142695</v>
      </c>
      <c r="N53" s="13">
        <f t="shared" si="1"/>
        <v>7134.75</v>
      </c>
      <c r="O53" s="13">
        <f t="shared" si="2"/>
        <v>135560.25</v>
      </c>
      <c r="P53" s="13">
        <f t="shared" si="3"/>
        <v>111302.1</v>
      </c>
      <c r="Q53" s="13">
        <f t="shared" si="4"/>
        <v>24258.15</v>
      </c>
      <c r="R53" s="10">
        <f t="shared" si="5"/>
        <v>0.178947368421053</v>
      </c>
      <c r="S53" t="str">
        <f t="shared" si="6"/>
        <v>Mar-2026</v>
      </c>
      <c r="T53" t="str">
        <f t="shared" si="7"/>
        <v>OK</v>
      </c>
    </row>
    <row r="54" spans="1:20">
      <c r="A54" t="str">
        <f>TRIM(Raw_Data!A54)</f>
        <v>ORD-10053</v>
      </c>
      <c r="B54" s="12" t="str">
        <f>IFERROR(IF(ISNUMBER(Raw_Data!B54),Raw_Data!B54,DATEVALUE(Raw_Data!B54)),"")</f>
        <v/>
      </c>
      <c r="C54" t="str">
        <f>PROPER(TRIM(Raw_Data!C54))</f>
        <v>Arjun</v>
      </c>
      <c r="D54" t="str">
        <f>IF(TRIM(Raw_Data!D54)="Bangalore","Bengaluru",IF(TRIM(Raw_Data!D54)="Mysore","Mysuru",IF(TRIM(Raw_Data!D54)="Cochin","Kochi",PROPER(TRIM(Raw_Data!D54)))))</f>
        <v>Hydrabad</v>
      </c>
      <c r="E54" t="str">
        <f>PROPER(TRIM(Raw_Data!E54))</f>
        <v>Corporate</v>
      </c>
      <c r="F54" t="str">
        <f>PROPER(TRIM(Raw_Data!F54))</f>
        <v>Consumer</v>
      </c>
      <c r="G54" t="str">
        <f>PROPER(TRIM(Raw_Data!G54))</f>
        <v>Keyboard</v>
      </c>
      <c r="H54" t="str">
        <f>PROPER(TRIM(Raw_Data!H54))</f>
        <v>Keyboard Wireless</v>
      </c>
      <c r="I54">
        <f>IFERROR(MAX(0,VALUE(Raw_Data!I54)),0)</f>
        <v>2</v>
      </c>
      <c r="J54" s="13">
        <f>IFERROR(VALUE(Raw_Data!J54),0)</f>
        <v>4410</v>
      </c>
      <c r="K54" s="14">
        <f>IFERROR(VALUE(Raw_Data!K54),0)</f>
        <v>0.05</v>
      </c>
      <c r="L54" t="str">
        <f>PROPER(TRIM(Raw_Data!L54))</f>
        <v>Cancelled</v>
      </c>
      <c r="M54" s="13">
        <f t="shared" si="0"/>
        <v>8820</v>
      </c>
      <c r="N54" s="13">
        <f t="shared" si="1"/>
        <v>441</v>
      </c>
      <c r="O54" s="13">
        <f t="shared" si="2"/>
        <v>8379</v>
      </c>
      <c r="P54" s="13">
        <f t="shared" si="3"/>
        <v>5115.6</v>
      </c>
      <c r="Q54" s="13">
        <f t="shared" si="4"/>
        <v>3263.4</v>
      </c>
      <c r="R54" s="10">
        <f t="shared" si="5"/>
        <v>0.389473684210526</v>
      </c>
      <c r="S54" t="str">
        <f t="shared" si="6"/>
        <v/>
      </c>
      <c r="T54" t="str">
        <f t="shared" si="7"/>
        <v>CHECK</v>
      </c>
    </row>
    <row r="55" spans="1:20">
      <c r="A55" t="str">
        <f>TRIM(Raw_Data!A55)</f>
        <v>ORD-10054</v>
      </c>
      <c r="B55" s="12">
        <f>IFERROR(IF(ISNUMBER(Raw_Data!B55),Raw_Data!B55,DATEVALUE(Raw_Data!B55)),"")</f>
        <v>46058</v>
      </c>
      <c r="C55" t="str">
        <f>PROPER(TRIM(Raw_Data!C55))</f>
        <v>Priya</v>
      </c>
      <c r="D55" t="str">
        <f>IF(TRIM(Raw_Data!D55)="Bangalore","Bengaluru",IF(TRIM(Raw_Data!D55)="Mysore","Mysuru",IF(TRIM(Raw_Data!D55)="Cochin","Kochi",PROPER(TRIM(Raw_Data!D55)))))</f>
        <v>Mumbai</v>
      </c>
      <c r="E55" t="str">
        <f>PROPER(TRIM(Raw_Data!E55))</f>
        <v>Online</v>
      </c>
      <c r="F55" t="str">
        <f>PROPER(TRIM(Raw_Data!F55))</f>
        <v>Smb</v>
      </c>
      <c r="G55" t="str">
        <f>PROPER(TRIM(Raw_Data!G55))</f>
        <v>Monitor</v>
      </c>
      <c r="H55" t="str">
        <f>PROPER(TRIM(Raw_Data!H55))</f>
        <v>Monitor 24</v>
      </c>
      <c r="I55">
        <f>IFERROR(MAX(0,VALUE(Raw_Data!I55)),0)</f>
        <v>3</v>
      </c>
      <c r="J55" s="13">
        <f>IFERROR(VALUE(Raw_Data!J55),0)</f>
        <v>25635</v>
      </c>
      <c r="K55" s="14">
        <f>IFERROR(VALUE(Raw_Data!K55),0)</f>
        <v>0.1</v>
      </c>
      <c r="L55" t="str">
        <f>PROPER(TRIM(Raw_Data!L55))</f>
        <v>Pending</v>
      </c>
      <c r="M55" s="13">
        <f t="shared" si="0"/>
        <v>76905</v>
      </c>
      <c r="N55" s="13">
        <f t="shared" si="1"/>
        <v>7690.5</v>
      </c>
      <c r="O55" s="13">
        <f t="shared" si="2"/>
        <v>69214.5</v>
      </c>
      <c r="P55" s="13">
        <f t="shared" si="3"/>
        <v>53833.5</v>
      </c>
      <c r="Q55" s="13">
        <f t="shared" si="4"/>
        <v>15381</v>
      </c>
      <c r="R55" s="10">
        <f t="shared" si="5"/>
        <v>0.222222222222222</v>
      </c>
      <c r="S55" t="str">
        <f t="shared" si="6"/>
        <v>Feb-2026</v>
      </c>
      <c r="T55" t="str">
        <f t="shared" si="7"/>
        <v>OK</v>
      </c>
    </row>
    <row r="56" spans="1:20">
      <c r="A56" t="str">
        <f>TRIM(Raw_Data!A56)</f>
        <v>ORD-10055</v>
      </c>
      <c r="B56" s="12">
        <f>IFERROR(IF(ISNUMBER(Raw_Data!B56),Raw_Data!B56,DATEVALUE(Raw_Data!B56)),"")</f>
        <v>46223</v>
      </c>
      <c r="C56" t="str">
        <f>PROPER(TRIM(Raw_Data!C56))</f>
        <v>Priya</v>
      </c>
      <c r="D56" t="str">
        <f>IF(TRIM(Raw_Data!D56)="Bangalore","Bengaluru",IF(TRIM(Raw_Data!D56)="Mysore","Mysuru",IF(TRIM(Raw_Data!D56)="Cochin","Kochi",PROPER(TRIM(Raw_Data!D56)))))</f>
        <v>Delhi</v>
      </c>
      <c r="E56" t="str">
        <f>PROPER(TRIM(Raw_Data!E56))</f>
        <v>Retail Store</v>
      </c>
      <c r="F56" t="str">
        <f>PROPER(TRIM(Raw_Data!F56))</f>
        <v>Consumer</v>
      </c>
      <c r="G56" t="str">
        <f>PROPER(TRIM(Raw_Data!G56))</f>
        <v>Mouse</v>
      </c>
      <c r="H56" t="str">
        <f>PROPER(TRIM(Raw_Data!H56))</f>
        <v>Mouse Wireless</v>
      </c>
      <c r="I56">
        <f>IFERROR(MAX(0,VALUE(Raw_Data!I56)),0)</f>
        <v>7</v>
      </c>
      <c r="J56" s="13">
        <f>IFERROR(VALUE(Raw_Data!J56),0)</f>
        <v>1854</v>
      </c>
      <c r="K56" s="14">
        <f>IFERROR(VALUE(Raw_Data!K56),0)</f>
        <v>0.02</v>
      </c>
      <c r="L56" t="str">
        <f>PROPER(TRIM(Raw_Data!L56))</f>
        <v>Delivered</v>
      </c>
      <c r="M56" s="13">
        <f t="shared" si="0"/>
        <v>12978</v>
      </c>
      <c r="N56" s="13">
        <f t="shared" si="1"/>
        <v>259.56</v>
      </c>
      <c r="O56" s="13">
        <f t="shared" si="2"/>
        <v>12718.44</v>
      </c>
      <c r="P56" s="13">
        <f t="shared" si="3"/>
        <v>7137.9</v>
      </c>
      <c r="Q56" s="13">
        <f t="shared" si="4"/>
        <v>5580.54</v>
      </c>
      <c r="R56" s="10">
        <f t="shared" si="5"/>
        <v>0.438775510204082</v>
      </c>
      <c r="S56" t="str">
        <f t="shared" si="6"/>
        <v>Jul-2026</v>
      </c>
      <c r="T56" t="str">
        <f t="shared" si="7"/>
        <v>OK</v>
      </c>
    </row>
    <row r="57" spans="1:20">
      <c r="A57" t="str">
        <f>TRIM(Raw_Data!A57)</f>
        <v>ORD-10056</v>
      </c>
      <c r="B57" s="12">
        <f>IFERROR(IF(ISNUMBER(Raw_Data!B57),Raw_Data!B57,DATEVALUE(Raw_Data!B57)),"")</f>
        <v>46079</v>
      </c>
      <c r="C57" t="str">
        <f>PROPER(TRIM(Raw_Data!C57))</f>
        <v>Asha</v>
      </c>
      <c r="D57" t="str">
        <f>IF(TRIM(Raw_Data!D57)="Bangalore","Bengaluru",IF(TRIM(Raw_Data!D57)="Mysore","Mysuru",IF(TRIM(Raw_Data!D57)="Cochin","Kochi",PROPER(TRIM(Raw_Data!D57)))))</f>
        <v>Bengaluru</v>
      </c>
      <c r="E57" t="str">
        <f>PROPER(TRIM(Raw_Data!E57))</f>
        <v>Corporate</v>
      </c>
      <c r="F57" t="str">
        <f>PROPER(TRIM(Raw_Data!F57))</f>
        <v>Smb</v>
      </c>
      <c r="G57" t="str">
        <f>PROPER(TRIM(Raw_Data!G57))</f>
        <v>Mouse</v>
      </c>
      <c r="H57" t="str">
        <f>PROPER(TRIM(Raw_Data!H57))</f>
        <v>Mouse Ergonomic</v>
      </c>
      <c r="I57">
        <f>IFERROR(MAX(0,VALUE(Raw_Data!I57)),0)</f>
        <v>4</v>
      </c>
      <c r="J57" s="13">
        <f>IFERROR(VALUE(Raw_Data!J57),0)</f>
        <v>2756</v>
      </c>
      <c r="K57" s="14">
        <f>IFERROR(VALUE(Raw_Data!K57),0)</f>
        <v>0.08</v>
      </c>
      <c r="L57" t="str">
        <f>PROPER(TRIM(Raw_Data!L57))</f>
        <v>Delivered</v>
      </c>
      <c r="M57" s="13">
        <f t="shared" si="0"/>
        <v>11024</v>
      </c>
      <c r="N57" s="13">
        <f t="shared" si="1"/>
        <v>881.92</v>
      </c>
      <c r="O57" s="13">
        <f t="shared" si="2"/>
        <v>10142.08</v>
      </c>
      <c r="P57" s="13">
        <f t="shared" si="3"/>
        <v>6063.2</v>
      </c>
      <c r="Q57" s="13">
        <f t="shared" si="4"/>
        <v>4078.88</v>
      </c>
      <c r="R57" s="10">
        <f t="shared" si="5"/>
        <v>0.402173913043478</v>
      </c>
      <c r="S57" t="str">
        <f t="shared" si="6"/>
        <v>Feb-2026</v>
      </c>
      <c r="T57" t="str">
        <f t="shared" si="7"/>
        <v>OK</v>
      </c>
    </row>
    <row r="58" spans="1:20">
      <c r="A58" t="str">
        <f>TRIM(Raw_Data!A58)</f>
        <v>ORD-10057</v>
      </c>
      <c r="B58" s="12">
        <f>IFERROR(IF(ISNUMBER(Raw_Data!B58),Raw_Data!B58,DATEVALUE(Raw_Data!B58)),"")</f>
        <v>46027</v>
      </c>
      <c r="C58" t="str">
        <f>PROPER(TRIM(Raw_Data!C58))</f>
        <v>Kiran</v>
      </c>
      <c r="D58" t="str">
        <f>IF(TRIM(Raw_Data!D58)="Bangalore","Bengaluru",IF(TRIM(Raw_Data!D58)="Mysore","Mysuru",IF(TRIM(Raw_Data!D58)="Cochin","Kochi",PROPER(TRIM(Raw_Data!D58)))))</f>
        <v>Hyderabad</v>
      </c>
      <c r="E58" t="str">
        <f>PROPER(TRIM(Raw_Data!E58))</f>
        <v>Online</v>
      </c>
      <c r="F58" t="str">
        <f>PROPER(TRIM(Raw_Data!F58))</f>
        <v>Enterprise</v>
      </c>
      <c r="G58" t="str">
        <f>PROPER(TRIM(Raw_Data!G58))</f>
        <v>Keyboard</v>
      </c>
      <c r="H58" t="str">
        <f>PROPER(TRIM(Raw_Data!H58))</f>
        <v>Keyboard Wireless</v>
      </c>
      <c r="I58">
        <f>IFERROR(MAX(0,VALUE(Raw_Data!I58)),0)</f>
        <v>4</v>
      </c>
      <c r="J58" s="13">
        <f>IFERROR(VALUE(Raw_Data!J58),0)</f>
        <v>0</v>
      </c>
      <c r="K58" s="14">
        <f>IFERROR(VALUE(Raw_Data!K58),0)</f>
        <v>0.05</v>
      </c>
      <c r="L58" t="str">
        <f>PROPER(TRIM(Raw_Data!L58))</f>
        <v>Delivered</v>
      </c>
      <c r="M58" s="13">
        <f t="shared" si="0"/>
        <v>0</v>
      </c>
      <c r="N58" s="13">
        <f t="shared" si="1"/>
        <v>0</v>
      </c>
      <c r="O58" s="13">
        <f t="shared" si="2"/>
        <v>0</v>
      </c>
      <c r="P58" s="13">
        <f t="shared" si="3"/>
        <v>0</v>
      </c>
      <c r="Q58" s="13">
        <f t="shared" si="4"/>
        <v>0</v>
      </c>
      <c r="R58" s="10">
        <f t="shared" si="5"/>
        <v>0</v>
      </c>
      <c r="S58" t="str">
        <f t="shared" si="6"/>
        <v>Jan-2026</v>
      </c>
      <c r="T58" t="str">
        <f t="shared" si="7"/>
        <v>CHECK</v>
      </c>
    </row>
    <row r="59" spans="1:20">
      <c r="A59" t="str">
        <f>TRIM(Raw_Data!A59)</f>
        <v>ORD-10058</v>
      </c>
      <c r="B59" s="12">
        <f>IFERROR(IF(ISNUMBER(Raw_Data!B59),Raw_Data!B59,DATEVALUE(Raw_Data!B59)),"")</f>
        <v>46070</v>
      </c>
      <c r="C59" t="str">
        <f>PROPER(TRIM(Raw_Data!C59))</f>
        <v>Kiran</v>
      </c>
      <c r="D59" t="str">
        <f>IF(TRIM(Raw_Data!D59)="Bangalore","Bengaluru",IF(TRIM(Raw_Data!D59)="Mysore","Mysuru",IF(TRIM(Raw_Data!D59)="Cochin","Kochi",PROPER(TRIM(Raw_Data!D59)))))</f>
        <v>Delhi</v>
      </c>
      <c r="E59" t="str">
        <f>PROPER(TRIM(Raw_Data!E59))</f>
        <v>Online</v>
      </c>
      <c r="F59" t="str">
        <f>PROPER(TRIM(Raw_Data!F59))</f>
        <v>Smb</v>
      </c>
      <c r="G59" t="str">
        <f>PROPER(TRIM(Raw_Data!G59))</f>
        <v>Laptop</v>
      </c>
      <c r="H59" t="str">
        <f>PROPER(TRIM(Raw_Data!H59))</f>
        <v>Business Laptop 15</v>
      </c>
      <c r="I59">
        <f>IFERROR(MAX(0,VALUE(Raw_Data!I59)),0)</f>
        <v>1</v>
      </c>
      <c r="J59" s="13">
        <f>IFERROR(VALUE(Raw_Data!J59),0)</f>
        <v>49435</v>
      </c>
      <c r="K59" s="14">
        <f>IFERROR(VALUE(Raw_Data!K59),0)</f>
        <v>0.08</v>
      </c>
      <c r="L59" t="str">
        <f>PROPER(TRIM(Raw_Data!L59))</f>
        <v>Pending</v>
      </c>
      <c r="M59" s="13">
        <f t="shared" si="0"/>
        <v>49435</v>
      </c>
      <c r="N59" s="13">
        <f t="shared" si="1"/>
        <v>3954.8</v>
      </c>
      <c r="O59" s="13">
        <f t="shared" si="2"/>
        <v>45480.2</v>
      </c>
      <c r="P59" s="13">
        <f t="shared" si="3"/>
        <v>38559.3</v>
      </c>
      <c r="Q59" s="13">
        <f t="shared" si="4"/>
        <v>6920.89999999999</v>
      </c>
      <c r="R59" s="10">
        <f t="shared" si="5"/>
        <v>0.152173913043478</v>
      </c>
      <c r="S59" t="str">
        <f t="shared" si="6"/>
        <v>Feb-2026</v>
      </c>
      <c r="T59" t="str">
        <f t="shared" si="7"/>
        <v>OK</v>
      </c>
    </row>
    <row r="60" spans="1:20">
      <c r="A60" t="str">
        <f>TRIM(Raw_Data!A60)</f>
        <v>ORD-10059</v>
      </c>
      <c r="B60" s="12">
        <f>IFERROR(IF(ISNUMBER(Raw_Data!B60),Raw_Data!B60,DATEVALUE(Raw_Data!B60)),"")</f>
        <v>46222</v>
      </c>
      <c r="C60" t="str">
        <f>PROPER(TRIM(Raw_Data!C60))</f>
        <v>Asha</v>
      </c>
      <c r="D60" t="str">
        <f>IF(TRIM(Raw_Data!D60)="Bangalore","Bengaluru",IF(TRIM(Raw_Data!D60)="Mysore","Mysuru",IF(TRIM(Raw_Data!D60)="Cochin","Kochi",PROPER(TRIM(Raw_Data!D60)))))</f>
        <v>Mysuru</v>
      </c>
      <c r="E60" t="str">
        <f>PROPER(TRIM(Raw_Data!E60))</f>
        <v>Retail Store</v>
      </c>
      <c r="F60" t="str">
        <f>PROPER(TRIM(Raw_Data!F60))</f>
        <v>Consumer</v>
      </c>
      <c r="G60" t="str">
        <f>PROPER(TRIM(Raw_Data!G60))</f>
        <v>Mouse</v>
      </c>
      <c r="H60" t="str">
        <f>PROPER(TRIM(Raw_Data!H60))</f>
        <v>Mouse Basic</v>
      </c>
      <c r="I60">
        <f>IFERROR(MAX(0,VALUE(Raw_Data!I60)),0)</f>
        <v>5</v>
      </c>
      <c r="J60" s="13">
        <f>IFERROR(VALUE(Raw_Data!J60),0)</f>
        <v>2574</v>
      </c>
      <c r="K60" s="14">
        <f>IFERROR(VALUE(Raw_Data!K60),0)</f>
        <v>0.02</v>
      </c>
      <c r="L60" t="str">
        <f>PROPER(TRIM(Raw_Data!L60))</f>
        <v>Delivered</v>
      </c>
      <c r="M60" s="13">
        <f t="shared" si="0"/>
        <v>12870</v>
      </c>
      <c r="N60" s="13">
        <f t="shared" si="1"/>
        <v>257.4</v>
      </c>
      <c r="O60" s="13">
        <f t="shared" si="2"/>
        <v>12612.6</v>
      </c>
      <c r="P60" s="13">
        <f t="shared" si="3"/>
        <v>7078.5</v>
      </c>
      <c r="Q60" s="13">
        <f t="shared" si="4"/>
        <v>5534.1</v>
      </c>
      <c r="R60" s="10">
        <f t="shared" si="5"/>
        <v>0.438775510204082</v>
      </c>
      <c r="S60" t="str">
        <f t="shared" si="6"/>
        <v>Jul-2026</v>
      </c>
      <c r="T60" t="str">
        <f t="shared" si="7"/>
        <v>OK</v>
      </c>
    </row>
    <row r="61" spans="1:20">
      <c r="A61" t="str">
        <f>TRIM(Raw_Data!A61)</f>
        <v>ORD-10060</v>
      </c>
      <c r="B61" s="12">
        <f>IFERROR(IF(ISNUMBER(Raw_Data!B61),Raw_Data!B61,DATEVALUE(Raw_Data!B61)),"")</f>
        <v>46117</v>
      </c>
      <c r="C61" t="str">
        <f>PROPER(TRIM(Raw_Data!C61))</f>
        <v>Ravi</v>
      </c>
      <c r="D61" t="str">
        <f>IF(TRIM(Raw_Data!D61)="Bangalore","Bengaluru",IF(TRIM(Raw_Data!D61)="Mysore","Mysuru",IF(TRIM(Raw_Data!D61)="Cochin","Kochi",PROPER(TRIM(Raw_Data!D61)))))</f>
        <v>Mysuru</v>
      </c>
      <c r="E61" t="str">
        <f>PROPER(TRIM(Raw_Data!E61))</f>
        <v>Corporate</v>
      </c>
      <c r="F61" t="str">
        <f>PROPER(TRIM(Raw_Data!F61))</f>
        <v>Smb</v>
      </c>
      <c r="G61" t="str">
        <f>PROPER(TRIM(Raw_Data!G61))</f>
        <v>Mouse</v>
      </c>
      <c r="H61" t="str">
        <f>PROPER(TRIM(Raw_Data!H61))</f>
        <v>Mouse Ergonomic</v>
      </c>
      <c r="I61">
        <f>IFERROR(MAX(0,VALUE(Raw_Data!I61)),0)</f>
        <v>8</v>
      </c>
      <c r="J61" s="13">
        <f>IFERROR(VALUE(Raw_Data!J61),0)</f>
        <v>2732</v>
      </c>
      <c r="K61" s="14">
        <f>IFERROR(VALUE(Raw_Data!K61),0)</f>
        <v>0.05</v>
      </c>
      <c r="L61" t="str">
        <f>PROPER(TRIM(Raw_Data!L61))</f>
        <v>Cancelled</v>
      </c>
      <c r="M61" s="13">
        <f t="shared" si="0"/>
        <v>21856</v>
      </c>
      <c r="N61" s="13">
        <f t="shared" si="1"/>
        <v>1092.8</v>
      </c>
      <c r="O61" s="13">
        <f t="shared" si="2"/>
        <v>20763.2</v>
      </c>
      <c r="P61" s="13">
        <f t="shared" si="3"/>
        <v>12020.8</v>
      </c>
      <c r="Q61" s="13">
        <f t="shared" si="4"/>
        <v>8742.4</v>
      </c>
      <c r="R61" s="10">
        <f t="shared" si="5"/>
        <v>0.421052631578947</v>
      </c>
      <c r="S61" t="str">
        <f t="shared" si="6"/>
        <v>Apr-2026</v>
      </c>
      <c r="T61" t="str">
        <f t="shared" si="7"/>
        <v>OK</v>
      </c>
    </row>
    <row r="62" spans="1:20">
      <c r="A62" t="str">
        <f>TRIM(Raw_Data!A62)</f>
        <v>ORD-10061</v>
      </c>
      <c r="B62" s="12">
        <f>IFERROR(IF(ISNUMBER(Raw_Data!B62),Raw_Data!B62,DATEVALUE(Raw_Data!B62)),"")</f>
        <v>46137</v>
      </c>
      <c r="C62" t="str">
        <f>PROPER(TRIM(Raw_Data!C62))</f>
        <v>Priya</v>
      </c>
      <c r="D62" t="str">
        <f>IF(TRIM(Raw_Data!D62)="Bangalore","Bengaluru",IF(TRIM(Raw_Data!D62)="Mysore","Mysuru",IF(TRIM(Raw_Data!D62)="Cochin","Kochi",PROPER(TRIM(Raw_Data!D62)))))</f>
        <v>Delhi</v>
      </c>
      <c r="E62" t="str">
        <f>PROPER(TRIM(Raw_Data!E62))</f>
        <v>Corporate</v>
      </c>
      <c r="F62" t="str">
        <f>PROPER(TRIM(Raw_Data!F62))</f>
        <v>Enterprise</v>
      </c>
      <c r="G62" t="str">
        <f>PROPER(TRIM(Raw_Data!G62))</f>
        <v>Laptop</v>
      </c>
      <c r="H62" t="str">
        <f>PROPER(TRIM(Raw_Data!H62))</f>
        <v>Business Laptop 15</v>
      </c>
      <c r="I62">
        <f>IFERROR(MAX(0,VALUE(Raw_Data!I62)),0)</f>
        <v>7</v>
      </c>
      <c r="J62" s="13">
        <f>IFERROR(VALUE(Raw_Data!J62),0)</f>
        <v>73504</v>
      </c>
      <c r="K62" s="14">
        <f>IFERROR(VALUE(Raw_Data!K62),0)</f>
        <v>0.05</v>
      </c>
      <c r="L62" t="str">
        <f>PROPER(TRIM(Raw_Data!L62))</f>
        <v>Cancelled</v>
      </c>
      <c r="M62" s="13">
        <f t="shared" si="0"/>
        <v>514528</v>
      </c>
      <c r="N62" s="13">
        <f t="shared" si="1"/>
        <v>25726.4</v>
      </c>
      <c r="O62" s="13">
        <f t="shared" si="2"/>
        <v>488801.6</v>
      </c>
      <c r="P62" s="13">
        <f t="shared" si="3"/>
        <v>401331.84</v>
      </c>
      <c r="Q62" s="13">
        <f t="shared" si="4"/>
        <v>87469.76</v>
      </c>
      <c r="R62" s="10">
        <f t="shared" si="5"/>
        <v>0.178947368421053</v>
      </c>
      <c r="S62" t="str">
        <f t="shared" si="6"/>
        <v>Apr-2026</v>
      </c>
      <c r="T62" t="str">
        <f t="shared" si="7"/>
        <v>OK</v>
      </c>
    </row>
    <row r="63" spans="1:20">
      <c r="A63" t="str">
        <f>TRIM(Raw_Data!A63)</f>
        <v>ORD-10062</v>
      </c>
      <c r="B63" s="12">
        <f>IFERROR(IF(ISNUMBER(Raw_Data!B63),Raw_Data!B63,DATEVALUE(Raw_Data!B63)),"")</f>
        <v>46117</v>
      </c>
      <c r="C63" t="str">
        <f>PROPER(TRIM(Raw_Data!C63))</f>
        <v>Priya</v>
      </c>
      <c r="D63" t="str">
        <f>IF(TRIM(Raw_Data!D63)="Bangalore","Bengaluru",IF(TRIM(Raw_Data!D63)="Mysore","Mysuru",IF(TRIM(Raw_Data!D63)="Cochin","Kochi",PROPER(TRIM(Raw_Data!D63)))))</f>
        <v>Chennai</v>
      </c>
      <c r="E63" t="str">
        <f>PROPER(TRIM(Raw_Data!E63))</f>
        <v>Corporate</v>
      </c>
      <c r="F63" t="str">
        <f>PROPER(TRIM(Raw_Data!F63))</f>
        <v>Enterprise</v>
      </c>
      <c r="G63" t="str">
        <f>PROPER(TRIM(Raw_Data!G63))</f>
        <v>Keyboard</v>
      </c>
      <c r="H63" t="str">
        <f>PROPER(TRIM(Raw_Data!H63))</f>
        <v>Keyboard Mechanical</v>
      </c>
      <c r="I63">
        <f>IFERROR(MAX(0,VALUE(Raw_Data!I63)),0)</f>
        <v>5</v>
      </c>
      <c r="J63" s="13">
        <f>IFERROR(VALUE(Raw_Data!J63),0)</f>
        <v>4206</v>
      </c>
      <c r="K63" s="14">
        <f>IFERROR(VALUE(Raw_Data!K63),0)</f>
        <v>0.02</v>
      </c>
      <c r="L63" t="str">
        <f>PROPER(TRIM(Raw_Data!L63))</f>
        <v>Delivered</v>
      </c>
      <c r="M63" s="13">
        <f t="shared" si="0"/>
        <v>21030</v>
      </c>
      <c r="N63" s="13">
        <f t="shared" si="1"/>
        <v>420.6</v>
      </c>
      <c r="O63" s="13">
        <f t="shared" si="2"/>
        <v>20609.4</v>
      </c>
      <c r="P63" s="13">
        <f t="shared" si="3"/>
        <v>12197.4</v>
      </c>
      <c r="Q63" s="13">
        <f t="shared" si="4"/>
        <v>8412</v>
      </c>
      <c r="R63" s="10">
        <f t="shared" si="5"/>
        <v>0.408163265306123</v>
      </c>
      <c r="S63" t="str">
        <f t="shared" si="6"/>
        <v>Apr-2026</v>
      </c>
      <c r="T63" t="str">
        <f t="shared" si="7"/>
        <v>OK</v>
      </c>
    </row>
    <row r="64" spans="1:20">
      <c r="A64" t="str">
        <f>TRIM(Raw_Data!A64)</f>
        <v>ORD-10063</v>
      </c>
      <c r="B64" s="12">
        <f>IFERROR(IF(ISNUMBER(Raw_Data!B64),Raw_Data!B64,DATEVALUE(Raw_Data!B64)),"")</f>
        <v>46253</v>
      </c>
      <c r="C64" t="str">
        <f>PROPER(TRIM(Raw_Data!C64))</f>
        <v>Meghana</v>
      </c>
      <c r="D64" t="str">
        <f>IF(TRIM(Raw_Data!D64)="Bangalore","Bengaluru",IF(TRIM(Raw_Data!D64)="Mysore","Mysuru",IF(TRIM(Raw_Data!D64)="Cochin","Kochi",PROPER(TRIM(Raw_Data!D64)))))</f>
        <v>New Delhi</v>
      </c>
      <c r="E64" t="str">
        <f>PROPER(TRIM(Raw_Data!E64))</f>
        <v>Retail Store</v>
      </c>
      <c r="F64" t="str">
        <f>PROPER(TRIM(Raw_Data!F64))</f>
        <v>Consumer</v>
      </c>
      <c r="G64" t="str">
        <f>PROPER(TRIM(Raw_Data!G64))</f>
        <v>Mouse</v>
      </c>
      <c r="H64" t="str">
        <f>PROPER(TRIM(Raw_Data!H64))</f>
        <v>Mouse Wireless</v>
      </c>
      <c r="I64">
        <f>IFERROR(MAX(0,VALUE(Raw_Data!I64)),0)</f>
        <v>3</v>
      </c>
      <c r="J64" s="13">
        <f>IFERROR(VALUE(Raw_Data!J64),0)</f>
        <v>1928</v>
      </c>
      <c r="K64" s="14">
        <f>IFERROR(VALUE(Raw_Data!K64),0)</f>
        <v>0.05</v>
      </c>
      <c r="L64" t="str">
        <f>PROPER(TRIM(Raw_Data!L64))</f>
        <v>Cancelled</v>
      </c>
      <c r="M64" s="13">
        <f t="shared" si="0"/>
        <v>5784</v>
      </c>
      <c r="N64" s="13">
        <f t="shared" si="1"/>
        <v>289.2</v>
      </c>
      <c r="O64" s="13">
        <f t="shared" si="2"/>
        <v>5494.8</v>
      </c>
      <c r="P64" s="13">
        <f t="shared" si="3"/>
        <v>3181.2</v>
      </c>
      <c r="Q64" s="13">
        <f t="shared" si="4"/>
        <v>2313.6</v>
      </c>
      <c r="R64" s="10">
        <f t="shared" si="5"/>
        <v>0.421052631578947</v>
      </c>
      <c r="S64" t="str">
        <f t="shared" si="6"/>
        <v>Aug-2026</v>
      </c>
      <c r="T64" t="str">
        <f t="shared" si="7"/>
        <v>OK</v>
      </c>
    </row>
    <row r="65" spans="1:20">
      <c r="A65" t="str">
        <f>TRIM(Raw_Data!A65)</f>
        <v>ORD-10064</v>
      </c>
      <c r="B65" s="12">
        <f>IFERROR(IF(ISNUMBER(Raw_Data!B65),Raw_Data!B65,DATEVALUE(Raw_Data!B65)),"")</f>
        <v>46157</v>
      </c>
      <c r="C65" t="str">
        <f>PROPER(TRIM(Raw_Data!C65))</f>
        <v>Priya</v>
      </c>
      <c r="D65" t="str">
        <f>IF(TRIM(Raw_Data!D65)="Bangalore","Bengaluru",IF(TRIM(Raw_Data!D65)="Mysore","Mysuru",IF(TRIM(Raw_Data!D65)="Cochin","Kochi",PROPER(TRIM(Raw_Data!D65)))))</f>
        <v>Chennai</v>
      </c>
      <c r="E65" t="str">
        <f>PROPER(TRIM(Raw_Data!E65))</f>
        <v>Corporate</v>
      </c>
      <c r="F65" t="str">
        <f>PROPER(TRIM(Raw_Data!F65))</f>
        <v>Smb</v>
      </c>
      <c r="G65" t="str">
        <f>PROPER(TRIM(Raw_Data!G65))</f>
        <v>Mouse</v>
      </c>
      <c r="H65" t="str">
        <f>PROPER(TRIM(Raw_Data!H65))</f>
        <v>Mouse Ergonomic</v>
      </c>
      <c r="I65">
        <f>IFERROR(MAX(0,VALUE(Raw_Data!I65)),0)</f>
        <v>6</v>
      </c>
      <c r="J65" s="13">
        <f>IFERROR(VALUE(Raw_Data!J65),0)</f>
        <v>2543</v>
      </c>
      <c r="K65" s="14">
        <f>IFERROR(VALUE(Raw_Data!K65),0)</f>
        <v>0.02</v>
      </c>
      <c r="L65" t="str">
        <f>PROPER(TRIM(Raw_Data!L65))</f>
        <v>Cancelled</v>
      </c>
      <c r="M65" s="13">
        <f t="shared" si="0"/>
        <v>15258</v>
      </c>
      <c r="N65" s="13">
        <f t="shared" si="1"/>
        <v>305.16</v>
      </c>
      <c r="O65" s="13">
        <f t="shared" si="2"/>
        <v>14952.84</v>
      </c>
      <c r="P65" s="13">
        <f t="shared" si="3"/>
        <v>8391.9</v>
      </c>
      <c r="Q65" s="13">
        <f t="shared" si="4"/>
        <v>6560.94</v>
      </c>
      <c r="R65" s="10">
        <f t="shared" si="5"/>
        <v>0.438775510204082</v>
      </c>
      <c r="S65" t="str">
        <f t="shared" si="6"/>
        <v>May-2026</v>
      </c>
      <c r="T65" t="str">
        <f t="shared" si="7"/>
        <v>OK</v>
      </c>
    </row>
    <row r="66" spans="1:20">
      <c r="A66" t="str">
        <f>TRIM(Raw_Data!A66)</f>
        <v>ORD-10065</v>
      </c>
      <c r="B66" s="12">
        <f>IFERROR(IF(ISNUMBER(Raw_Data!B66),Raw_Data!B66,DATEVALUE(Raw_Data!B66)),"")</f>
        <v>46043</v>
      </c>
      <c r="C66" t="str">
        <f>PROPER(TRIM(Raw_Data!C66))</f>
        <v>Arjun</v>
      </c>
      <c r="D66" t="str">
        <f>IF(TRIM(Raw_Data!D66)="Bangalore","Bengaluru",IF(TRIM(Raw_Data!D66)="Mysore","Mysuru",IF(TRIM(Raw_Data!D66)="Cochin","Kochi",PROPER(TRIM(Raw_Data!D66)))))</f>
        <v>Mumbai</v>
      </c>
      <c r="E66" t="str">
        <f>PROPER(TRIM(Raw_Data!E66))</f>
        <v>Online</v>
      </c>
      <c r="F66" t="str">
        <f>PROPER(TRIM(Raw_Data!F66))</f>
        <v>Consumer</v>
      </c>
      <c r="G66" t="str">
        <f>PROPER(TRIM(Raw_Data!G66))</f>
        <v>Keyboard</v>
      </c>
      <c r="H66" t="str">
        <f>PROPER(TRIM(Raw_Data!H66))</f>
        <v>Keyboard Wireless</v>
      </c>
      <c r="I66">
        <f>IFERROR(MAX(0,VALUE(Raw_Data!I66)),0)</f>
        <v>3</v>
      </c>
      <c r="J66" s="13">
        <f>IFERROR(VALUE(Raw_Data!J66),0)</f>
        <v>1965</v>
      </c>
      <c r="K66" s="14">
        <f>IFERROR(VALUE(Raw_Data!K66),0)</f>
        <v>0.1</v>
      </c>
      <c r="L66" t="str">
        <f>PROPER(TRIM(Raw_Data!L66))</f>
        <v>Cancelled</v>
      </c>
      <c r="M66" s="13">
        <f t="shared" ref="M66:M129" si="8">I66*J66</f>
        <v>5895</v>
      </c>
      <c r="N66" s="13">
        <f t="shared" ref="N66:N129" si="9">M66*K66</f>
        <v>589.5</v>
      </c>
      <c r="O66" s="13">
        <f t="shared" ref="O66:O129" si="10">M66-N66</f>
        <v>5305.5</v>
      </c>
      <c r="P66" s="13">
        <f t="shared" ref="P66:P129" si="11">M66*IF(G66="Laptop",0.78,IF(G66="Monitor",0.7,IF(G66="Keyboard",0.58,IF(G66="Mouse",0.55,0.6))))</f>
        <v>3419.1</v>
      </c>
      <c r="Q66" s="13">
        <f t="shared" ref="Q66:Q129" si="12">O66-P66</f>
        <v>1886.4</v>
      </c>
      <c r="R66" s="10">
        <f t="shared" ref="R66:R129" si="13">IFERROR(Q66/O66,0)</f>
        <v>0.355555555555556</v>
      </c>
      <c r="S66" t="str">
        <f t="shared" ref="S66:S129" si="14">IF(B66="","",TEXT(B66,"mmm-yyyy"))</f>
        <v>Jan-2026</v>
      </c>
      <c r="T66" t="str">
        <f t="shared" ref="T66:T129" si="15">IF(OR(A66="",B66="",I66&lt;=0,J66&lt;=0,L66=""),"CHECK","OK")</f>
        <v>OK</v>
      </c>
    </row>
    <row r="67" spans="1:20">
      <c r="A67" t="str">
        <f>TRIM(Raw_Data!A67)</f>
        <v>ORD-10066</v>
      </c>
      <c r="B67" s="12">
        <f>IFERROR(IF(ISNUMBER(Raw_Data!B67),Raw_Data!B67,DATEVALUE(Raw_Data!B67)),"")</f>
        <v>46100</v>
      </c>
      <c r="C67" t="str">
        <f>PROPER(TRIM(Raw_Data!C67))</f>
        <v>Arjun</v>
      </c>
      <c r="D67" t="str">
        <f>IF(TRIM(Raw_Data!D67)="Bangalore","Bengaluru",IF(TRIM(Raw_Data!D67)="Mysore","Mysuru",IF(TRIM(Raw_Data!D67)="Cochin","Kochi",PROPER(TRIM(Raw_Data!D67)))))</f>
        <v>Kochi</v>
      </c>
      <c r="E67" t="str">
        <f>PROPER(TRIM(Raw_Data!E67))</f>
        <v>Corporate</v>
      </c>
      <c r="F67" t="str">
        <f>PROPER(TRIM(Raw_Data!F67))</f>
        <v>Enterprise</v>
      </c>
      <c r="G67" t="str">
        <f>PROPER(TRIM(Raw_Data!G67))</f>
        <v>Mouse</v>
      </c>
      <c r="H67" t="str">
        <f>PROPER(TRIM(Raw_Data!H67))</f>
        <v>Mouse Wireless</v>
      </c>
      <c r="I67">
        <f>IFERROR(MAX(0,VALUE(Raw_Data!I67)),0)</f>
        <v>8</v>
      </c>
      <c r="J67" s="13">
        <f>IFERROR(VALUE(Raw_Data!J67),0)</f>
        <v>945</v>
      </c>
      <c r="K67" s="14">
        <f>IFERROR(VALUE(Raw_Data!K67),0)</f>
        <v>0.08</v>
      </c>
      <c r="L67" t="str">
        <f>PROPER(TRIM(Raw_Data!L67))</f>
        <v>Pending</v>
      </c>
      <c r="M67" s="13">
        <f t="shared" si="8"/>
        <v>7560</v>
      </c>
      <c r="N67" s="13">
        <f t="shared" si="9"/>
        <v>604.8</v>
      </c>
      <c r="O67" s="13">
        <f t="shared" si="10"/>
        <v>6955.2</v>
      </c>
      <c r="P67" s="13">
        <f t="shared" si="11"/>
        <v>4158</v>
      </c>
      <c r="Q67" s="13">
        <f t="shared" si="12"/>
        <v>2797.2</v>
      </c>
      <c r="R67" s="10">
        <f t="shared" si="13"/>
        <v>0.402173913043478</v>
      </c>
      <c r="S67" t="str">
        <f t="shared" si="14"/>
        <v>Mar-2026</v>
      </c>
      <c r="T67" t="str">
        <f t="shared" si="15"/>
        <v>OK</v>
      </c>
    </row>
    <row r="68" spans="1:20">
      <c r="A68" t="str">
        <f>TRIM(Raw_Data!A68)</f>
        <v>ORD-10067</v>
      </c>
      <c r="B68" s="12">
        <f>IFERROR(IF(ISNUMBER(Raw_Data!B68),Raw_Data!B68,DATEVALUE(Raw_Data!B68)),"")</f>
        <v>46035</v>
      </c>
      <c r="C68" t="str">
        <f>PROPER(TRIM(Raw_Data!C68))</f>
        <v>Neha</v>
      </c>
      <c r="D68" t="str">
        <f>IF(TRIM(Raw_Data!D68)="Bangalore","Bengaluru",IF(TRIM(Raw_Data!D68)="Mysore","Mysuru",IF(TRIM(Raw_Data!D68)="Cochin","Kochi",PROPER(TRIM(Raw_Data!D68)))))</f>
        <v>Kochi</v>
      </c>
      <c r="E68" t="str">
        <f>PROPER(TRIM(Raw_Data!E68))</f>
        <v>Online</v>
      </c>
      <c r="F68" t="str">
        <f>PROPER(TRIM(Raw_Data!F68))</f>
        <v>Enterprise</v>
      </c>
      <c r="G68" t="str">
        <f>PROPER(TRIM(Raw_Data!G68))</f>
        <v>Keyboard</v>
      </c>
      <c r="H68" t="str">
        <f>PROPER(TRIM(Raw_Data!H68))</f>
        <v>Keyboard Mechanical</v>
      </c>
      <c r="I68">
        <f>IFERROR(MAX(0,VALUE(Raw_Data!I68)),0)</f>
        <v>6</v>
      </c>
      <c r="J68" s="13">
        <f>IFERROR(VALUE(Raw_Data!J68),0)</f>
        <v>3882</v>
      </c>
      <c r="K68" s="14">
        <f>IFERROR(VALUE(Raw_Data!K68),0)</f>
        <v>0.02</v>
      </c>
      <c r="L68" t="str">
        <f>PROPER(TRIM(Raw_Data!L68))</f>
        <v>Delivered</v>
      </c>
      <c r="M68" s="13">
        <f t="shared" si="8"/>
        <v>23292</v>
      </c>
      <c r="N68" s="13">
        <f t="shared" si="9"/>
        <v>465.84</v>
      </c>
      <c r="O68" s="13">
        <f t="shared" si="10"/>
        <v>22826.16</v>
      </c>
      <c r="P68" s="13">
        <f t="shared" si="11"/>
        <v>13509.36</v>
      </c>
      <c r="Q68" s="13">
        <f t="shared" si="12"/>
        <v>9316.8</v>
      </c>
      <c r="R68" s="10">
        <f t="shared" si="13"/>
        <v>0.408163265306123</v>
      </c>
      <c r="S68" t="str">
        <f t="shared" si="14"/>
        <v>Jan-2026</v>
      </c>
      <c r="T68" t="str">
        <f t="shared" si="15"/>
        <v>OK</v>
      </c>
    </row>
    <row r="69" spans="1:20">
      <c r="A69" t="str">
        <f>TRIM(Raw_Data!A69)</f>
        <v>ORD-10068</v>
      </c>
      <c r="B69" s="12">
        <f>IFERROR(IF(ISNUMBER(Raw_Data!B69),Raw_Data!B69,DATEVALUE(Raw_Data!B69)),"")</f>
        <v>46160</v>
      </c>
      <c r="C69" t="str">
        <f>PROPER(TRIM(Raw_Data!C69))</f>
        <v>Meghana</v>
      </c>
      <c r="D69" t="str">
        <f>IF(TRIM(Raw_Data!D69)="Bangalore","Bengaluru",IF(TRIM(Raw_Data!D69)="Mysore","Mysuru",IF(TRIM(Raw_Data!D69)="Cochin","Kochi",PROPER(TRIM(Raw_Data!D69)))))</f>
        <v>Kochi</v>
      </c>
      <c r="E69" t="str">
        <f>PROPER(TRIM(Raw_Data!E69))</f>
        <v>Retail Store</v>
      </c>
      <c r="F69" t="str">
        <f>PROPER(TRIM(Raw_Data!F69))</f>
        <v>Consumer</v>
      </c>
      <c r="G69" t="str">
        <f>PROPER(TRIM(Raw_Data!G69))</f>
        <v>Laptop</v>
      </c>
      <c r="H69" t="str">
        <f>PROPER(TRIM(Raw_Data!H69))</f>
        <v>Laptop Pro 14</v>
      </c>
      <c r="I69">
        <f>IFERROR(MAX(0,VALUE(Raw_Data!I69)),0)</f>
        <v>1</v>
      </c>
      <c r="J69" s="13">
        <f>IFERROR(VALUE(Raw_Data!J69),0)</f>
        <v>53777</v>
      </c>
      <c r="K69" s="14">
        <f>IFERROR(VALUE(Raw_Data!K69),0)</f>
        <v>0.08</v>
      </c>
      <c r="L69" t="str">
        <f>PROPER(TRIM(Raw_Data!L69))</f>
        <v>Delivered</v>
      </c>
      <c r="M69" s="13">
        <f t="shared" si="8"/>
        <v>53777</v>
      </c>
      <c r="N69" s="13">
        <f t="shared" si="9"/>
        <v>4302.16</v>
      </c>
      <c r="O69" s="13">
        <f t="shared" si="10"/>
        <v>49474.84</v>
      </c>
      <c r="P69" s="13">
        <f t="shared" si="11"/>
        <v>41946.06</v>
      </c>
      <c r="Q69" s="13">
        <f t="shared" si="12"/>
        <v>7528.77999999999</v>
      </c>
      <c r="R69" s="10">
        <f t="shared" si="13"/>
        <v>0.152173913043478</v>
      </c>
      <c r="S69" t="str">
        <f t="shared" si="14"/>
        <v>May-2026</v>
      </c>
      <c r="T69" t="str">
        <f t="shared" si="15"/>
        <v>OK</v>
      </c>
    </row>
    <row r="70" spans="1:20">
      <c r="A70" t="str">
        <f>TRIM(Raw_Data!A70)</f>
        <v>ORD-10069</v>
      </c>
      <c r="B70" s="12">
        <f>IFERROR(IF(ISNUMBER(Raw_Data!B70),Raw_Data!B70,DATEVALUE(Raw_Data!B70)),"")</f>
        <v>46177</v>
      </c>
      <c r="C70" t="str">
        <f>PROPER(TRIM(Raw_Data!C70))</f>
        <v>Priya</v>
      </c>
      <c r="D70" t="str">
        <f>IF(TRIM(Raw_Data!D70)="Bangalore","Bengaluru",IF(TRIM(Raw_Data!D70)="Mysore","Mysuru",IF(TRIM(Raw_Data!D70)="Cochin","Kochi",PROPER(TRIM(Raw_Data!D70)))))</f>
        <v>Bengaluru</v>
      </c>
      <c r="E70" t="str">
        <f>PROPER(TRIM(Raw_Data!E70))</f>
        <v>Online</v>
      </c>
      <c r="F70" t="str">
        <f>PROPER(TRIM(Raw_Data!F70))</f>
        <v>Consumer</v>
      </c>
      <c r="G70" t="str">
        <f>PROPER(TRIM(Raw_Data!G70))</f>
        <v>Headset</v>
      </c>
      <c r="H70" t="str">
        <f>PROPER(TRIM(Raw_Data!H70))</f>
        <v>Headset Wireless</v>
      </c>
      <c r="I70">
        <f>IFERROR(MAX(0,VALUE(Raw_Data!I70)),0)</f>
        <v>8</v>
      </c>
      <c r="J70" s="13">
        <f>IFERROR(VALUE(Raw_Data!J70),0)</f>
        <v>5380</v>
      </c>
      <c r="K70" s="14">
        <f>IFERROR(VALUE(Raw_Data!K70),0)</f>
        <v>0</v>
      </c>
      <c r="L70" t="str">
        <f>PROPER(TRIM(Raw_Data!L70))</f>
        <v>Cancelled</v>
      </c>
      <c r="M70" s="13">
        <f t="shared" si="8"/>
        <v>43040</v>
      </c>
      <c r="N70" s="13">
        <f t="shared" si="9"/>
        <v>0</v>
      </c>
      <c r="O70" s="13">
        <f t="shared" si="10"/>
        <v>43040</v>
      </c>
      <c r="P70" s="13">
        <f t="shared" si="11"/>
        <v>25824</v>
      </c>
      <c r="Q70" s="13">
        <f t="shared" si="12"/>
        <v>17216</v>
      </c>
      <c r="R70" s="10">
        <f t="shared" si="13"/>
        <v>0.4</v>
      </c>
      <c r="S70" t="str">
        <f t="shared" si="14"/>
        <v>Jun-2026</v>
      </c>
      <c r="T70" t="str">
        <f t="shared" si="15"/>
        <v>OK</v>
      </c>
    </row>
    <row r="71" spans="1:20">
      <c r="A71" t="str">
        <f>TRIM(Raw_Data!A71)</f>
        <v>ORD-10070</v>
      </c>
      <c r="B71" s="12">
        <f>IFERROR(IF(ISNUMBER(Raw_Data!B71),Raw_Data!B71,DATEVALUE(Raw_Data!B71)),"")</f>
        <v>46107</v>
      </c>
      <c r="C71" t="str">
        <f>PROPER(TRIM(Raw_Data!C71))</f>
        <v>Priya</v>
      </c>
      <c r="D71" t="str">
        <f>IF(TRIM(Raw_Data!D71)="Bangalore","Bengaluru",IF(TRIM(Raw_Data!D71)="Mysore","Mysuru",IF(TRIM(Raw_Data!D71)="Cochin","Kochi",PROPER(TRIM(Raw_Data!D71)))))</f>
        <v>Mumbai</v>
      </c>
      <c r="E71" t="str">
        <f>PROPER(TRIM(Raw_Data!E71))</f>
        <v>Retail Store</v>
      </c>
      <c r="F71" t="str">
        <f>PROPER(TRIM(Raw_Data!F71))</f>
        <v>Consumer</v>
      </c>
      <c r="G71" t="str">
        <f>PROPER(TRIM(Raw_Data!G71))</f>
        <v>Laptop</v>
      </c>
      <c r="H71" t="str">
        <f>PROPER(TRIM(Raw_Data!H71))</f>
        <v>Laptop Air 13</v>
      </c>
      <c r="I71">
        <f>IFERROR(MAX(0,VALUE(Raw_Data!I71)),0)</f>
        <v>4</v>
      </c>
      <c r="J71" s="13">
        <f>IFERROR(VALUE(Raw_Data!J71),0)</f>
        <v>46746</v>
      </c>
      <c r="K71" s="14">
        <f>IFERROR(VALUE(Raw_Data!K71),0)</f>
        <v>0.15</v>
      </c>
      <c r="L71" t="str">
        <f>PROPER(TRIM(Raw_Data!L71))</f>
        <v>Delivered</v>
      </c>
      <c r="M71" s="13">
        <f t="shared" si="8"/>
        <v>186984</v>
      </c>
      <c r="N71" s="13">
        <f t="shared" si="9"/>
        <v>28047.6</v>
      </c>
      <c r="O71" s="13">
        <f t="shared" si="10"/>
        <v>158936.4</v>
      </c>
      <c r="P71" s="13">
        <f t="shared" si="11"/>
        <v>145847.52</v>
      </c>
      <c r="Q71" s="13">
        <f t="shared" si="12"/>
        <v>13088.88</v>
      </c>
      <c r="R71" s="10">
        <f t="shared" si="13"/>
        <v>0.0823529411764704</v>
      </c>
      <c r="S71" t="str">
        <f t="shared" si="14"/>
        <v>Mar-2026</v>
      </c>
      <c r="T71" t="str">
        <f t="shared" si="15"/>
        <v>OK</v>
      </c>
    </row>
    <row r="72" spans="1:20">
      <c r="A72" t="str">
        <f>TRIM(Raw_Data!A72)</f>
        <v>ORD-10071</v>
      </c>
      <c r="B72" s="12">
        <f>IFERROR(IF(ISNUMBER(Raw_Data!B72),Raw_Data!B72,DATEVALUE(Raw_Data!B72)),"")</f>
        <v>46143</v>
      </c>
      <c r="C72" t="str">
        <f>PROPER(TRIM(Raw_Data!C72))</f>
        <v>Arjun</v>
      </c>
      <c r="D72" t="str">
        <f>IF(TRIM(Raw_Data!D72)="Bangalore","Bengaluru",IF(TRIM(Raw_Data!D72)="Mysore","Mysuru",IF(TRIM(Raw_Data!D72)="Cochin","Kochi",PROPER(TRIM(Raw_Data!D72)))))</f>
        <v>Hydrabad</v>
      </c>
      <c r="E72" t="str">
        <f>PROPER(TRIM(Raw_Data!E72))</f>
        <v>Corporate</v>
      </c>
      <c r="F72" t="str">
        <f>PROPER(TRIM(Raw_Data!F72))</f>
        <v>Consumer</v>
      </c>
      <c r="G72" t="str">
        <f>PROPER(TRIM(Raw_Data!G72))</f>
        <v>Laptop</v>
      </c>
      <c r="H72" t="str">
        <f>PROPER(TRIM(Raw_Data!H72))</f>
        <v>Business Laptop 15</v>
      </c>
      <c r="I72">
        <f>IFERROR(MAX(0,VALUE(Raw_Data!I72)),0)</f>
        <v>7</v>
      </c>
      <c r="J72" s="13">
        <f>IFERROR(VALUE(Raw_Data!J72),0)</f>
        <v>78992</v>
      </c>
      <c r="K72" s="14">
        <f>IFERROR(VALUE(Raw_Data!K72),0)</f>
        <v>0.05</v>
      </c>
      <c r="L72" t="str">
        <f>PROPER(TRIM(Raw_Data!L72))</f>
        <v>Delivered</v>
      </c>
      <c r="M72" s="13">
        <f t="shared" si="8"/>
        <v>552944</v>
      </c>
      <c r="N72" s="13">
        <f t="shared" si="9"/>
        <v>27647.2</v>
      </c>
      <c r="O72" s="13">
        <f t="shared" si="10"/>
        <v>525296.8</v>
      </c>
      <c r="P72" s="13">
        <f t="shared" si="11"/>
        <v>431296.32</v>
      </c>
      <c r="Q72" s="13">
        <f t="shared" si="12"/>
        <v>94000.48</v>
      </c>
      <c r="R72" s="10">
        <f t="shared" si="13"/>
        <v>0.178947368421053</v>
      </c>
      <c r="S72" t="str">
        <f t="shared" si="14"/>
        <v>May-2026</v>
      </c>
      <c r="T72" t="str">
        <f t="shared" si="15"/>
        <v>OK</v>
      </c>
    </row>
    <row r="73" spans="1:20">
      <c r="A73" t="str">
        <f>TRIM(Raw_Data!A73)</f>
        <v>ORD-10072</v>
      </c>
      <c r="B73" s="12">
        <f>IFERROR(IF(ISNUMBER(Raw_Data!B73),Raw_Data!B73,DATEVALUE(Raw_Data!B73)),"")</f>
        <v>46076</v>
      </c>
      <c r="C73" t="str">
        <f>PROPER(TRIM(Raw_Data!C73))</f>
        <v>Priya</v>
      </c>
      <c r="D73" t="str">
        <f>IF(TRIM(Raw_Data!D73)="Bangalore","Bengaluru",IF(TRIM(Raw_Data!D73)="Mysore","Mysuru",IF(TRIM(Raw_Data!D73)="Cochin","Kochi",PROPER(TRIM(Raw_Data!D73)))))</f>
        <v>Mysuru</v>
      </c>
      <c r="E73" t="str">
        <f>PROPER(TRIM(Raw_Data!E73))</f>
        <v>Corporate</v>
      </c>
      <c r="F73" t="str">
        <f>PROPER(TRIM(Raw_Data!F73))</f>
        <v>Enterprise</v>
      </c>
      <c r="G73" t="str">
        <f>PROPER(TRIM(Raw_Data!G73))</f>
        <v>Mouse</v>
      </c>
      <c r="H73" t="str">
        <f>PROPER(TRIM(Raw_Data!H73))</f>
        <v>Mouse Ergonomic</v>
      </c>
      <c r="I73">
        <f>IFERROR(MAX(0,VALUE(Raw_Data!I73)),0)</f>
        <v>7</v>
      </c>
      <c r="J73" s="13">
        <f>IFERROR(VALUE(Raw_Data!J73),0)</f>
        <v>1878</v>
      </c>
      <c r="K73" s="14">
        <f>IFERROR(VALUE(Raw_Data!K73),0)</f>
        <v>0.08</v>
      </c>
      <c r="L73" t="str">
        <f>PROPER(TRIM(Raw_Data!L73))</f>
        <v>Delivered</v>
      </c>
      <c r="M73" s="13">
        <f t="shared" si="8"/>
        <v>13146</v>
      </c>
      <c r="N73" s="13">
        <f t="shared" si="9"/>
        <v>1051.68</v>
      </c>
      <c r="O73" s="13">
        <f t="shared" si="10"/>
        <v>12094.32</v>
      </c>
      <c r="P73" s="13">
        <f t="shared" si="11"/>
        <v>7230.3</v>
      </c>
      <c r="Q73" s="13">
        <f t="shared" si="12"/>
        <v>4864.02</v>
      </c>
      <c r="R73" s="10">
        <f t="shared" si="13"/>
        <v>0.402173913043478</v>
      </c>
      <c r="S73" t="str">
        <f t="shared" si="14"/>
        <v>Feb-2026</v>
      </c>
      <c r="T73" t="str">
        <f t="shared" si="15"/>
        <v>OK</v>
      </c>
    </row>
    <row r="74" spans="1:20">
      <c r="A74" t="str">
        <f>TRIM(Raw_Data!A74)</f>
        <v>ORD-10073</v>
      </c>
      <c r="B74" s="12">
        <f>IFERROR(IF(ISNUMBER(Raw_Data!B74),Raw_Data!B74,DATEVALUE(Raw_Data!B74)),"")</f>
        <v>46084</v>
      </c>
      <c r="C74" t="str">
        <f>PROPER(TRIM(Raw_Data!C74))</f>
        <v>Asha</v>
      </c>
      <c r="D74" t="str">
        <f>IF(TRIM(Raw_Data!D74)="Bangalore","Bengaluru",IF(TRIM(Raw_Data!D74)="Mysore","Mysuru",IF(TRIM(Raw_Data!D74)="Cochin","Kochi",PROPER(TRIM(Raw_Data!D74)))))</f>
        <v>Pune</v>
      </c>
      <c r="E74" t="str">
        <f>PROPER(TRIM(Raw_Data!E74))</f>
        <v>Online</v>
      </c>
      <c r="F74" t="str">
        <f>PROPER(TRIM(Raw_Data!F74))</f>
        <v>Enterprise</v>
      </c>
      <c r="G74" t="str">
        <f>PROPER(TRIM(Raw_Data!G74))</f>
        <v>Monitor</v>
      </c>
      <c r="H74" t="str">
        <f>PROPER(TRIM(Raw_Data!H74))</f>
        <v>Monitor 24</v>
      </c>
      <c r="I74">
        <f>IFERROR(MAX(0,VALUE(Raw_Data!I74)),0)</f>
        <v>8</v>
      </c>
      <c r="J74" s="13">
        <f>IFERROR(VALUE(Raw_Data!J74),0)</f>
        <v>10720</v>
      </c>
      <c r="K74" s="14">
        <f>IFERROR(VALUE(Raw_Data!K74),0)</f>
        <v>0</v>
      </c>
      <c r="L74" t="str">
        <f>PROPER(TRIM(Raw_Data!L74))</f>
        <v>Returned</v>
      </c>
      <c r="M74" s="13">
        <f t="shared" si="8"/>
        <v>85760</v>
      </c>
      <c r="N74" s="13">
        <f t="shared" si="9"/>
        <v>0</v>
      </c>
      <c r="O74" s="13">
        <f t="shared" si="10"/>
        <v>85760</v>
      </c>
      <c r="P74" s="13">
        <f t="shared" si="11"/>
        <v>60032</v>
      </c>
      <c r="Q74" s="13">
        <f t="shared" si="12"/>
        <v>25728</v>
      </c>
      <c r="R74" s="10">
        <f t="shared" si="13"/>
        <v>0.3</v>
      </c>
      <c r="S74" t="str">
        <f t="shared" si="14"/>
        <v>Mar-2026</v>
      </c>
      <c r="T74" t="str">
        <f t="shared" si="15"/>
        <v>OK</v>
      </c>
    </row>
    <row r="75" spans="1:20">
      <c r="A75" t="str">
        <f>TRIM(Raw_Data!A75)</f>
        <v>ORD-10074</v>
      </c>
      <c r="B75" s="12">
        <f>IFERROR(IF(ISNUMBER(Raw_Data!B75),Raw_Data!B75,DATEVALUE(Raw_Data!B75)),"")</f>
        <v>46212</v>
      </c>
      <c r="C75" t="str">
        <f>PROPER(TRIM(Raw_Data!C75))</f>
        <v>Ravi</v>
      </c>
      <c r="D75" t="str">
        <f>IF(TRIM(Raw_Data!D75)="Bangalore","Bengaluru",IF(TRIM(Raw_Data!D75)="Mysore","Mysuru",IF(TRIM(Raw_Data!D75)="Cochin","Kochi",PROPER(TRIM(Raw_Data!D75)))))</f>
        <v>Kochi</v>
      </c>
      <c r="E75" t="str">
        <f>PROPER(TRIM(Raw_Data!E75))</f>
        <v>Retail Store</v>
      </c>
      <c r="F75" t="str">
        <f>PROPER(TRIM(Raw_Data!F75))</f>
        <v>Consumer</v>
      </c>
      <c r="G75" t="str">
        <f>PROPER(TRIM(Raw_Data!G75))</f>
        <v>Laptop</v>
      </c>
      <c r="H75" t="str">
        <f>PROPER(TRIM(Raw_Data!H75))</f>
        <v>Laptop Pro 14</v>
      </c>
      <c r="I75">
        <f>IFERROR(MAX(0,VALUE(Raw_Data!I75)),0)</f>
        <v>5</v>
      </c>
      <c r="J75" s="13">
        <f>IFERROR(VALUE(Raw_Data!J75),0)</f>
        <v>56520</v>
      </c>
      <c r="K75" s="14">
        <f>IFERROR(VALUE(Raw_Data!K75),0)</f>
        <v>0</v>
      </c>
      <c r="L75" t="str">
        <f>PROPER(TRIM(Raw_Data!L75))</f>
        <v>Delivered</v>
      </c>
      <c r="M75" s="13">
        <f t="shared" si="8"/>
        <v>282600</v>
      </c>
      <c r="N75" s="13">
        <f t="shared" si="9"/>
        <v>0</v>
      </c>
      <c r="O75" s="13">
        <f t="shared" si="10"/>
        <v>282600</v>
      </c>
      <c r="P75" s="13">
        <f t="shared" si="11"/>
        <v>220428</v>
      </c>
      <c r="Q75" s="13">
        <f t="shared" si="12"/>
        <v>62172</v>
      </c>
      <c r="R75" s="10">
        <f t="shared" si="13"/>
        <v>0.22</v>
      </c>
      <c r="S75" t="str">
        <f t="shared" si="14"/>
        <v>Jul-2026</v>
      </c>
      <c r="T75" t="str">
        <f t="shared" si="15"/>
        <v>OK</v>
      </c>
    </row>
    <row r="76" spans="1:20">
      <c r="A76" t="str">
        <f>TRIM(Raw_Data!A76)</f>
        <v>ORD-10075</v>
      </c>
      <c r="B76" s="12">
        <f>IFERROR(IF(ISNUMBER(Raw_Data!B76),Raw_Data!B76,DATEVALUE(Raw_Data!B76)),"")</f>
        <v>46070</v>
      </c>
      <c r="C76" t="str">
        <f>PROPER(TRIM(Raw_Data!C76))</f>
        <v>Kiran</v>
      </c>
      <c r="D76" t="str">
        <f>IF(TRIM(Raw_Data!D76)="Bangalore","Bengaluru",IF(TRIM(Raw_Data!D76)="Mysore","Mysuru",IF(TRIM(Raw_Data!D76)="Cochin","Kochi",PROPER(TRIM(Raw_Data!D76)))))</f>
        <v>New Delhi</v>
      </c>
      <c r="E76" t="str">
        <f>PROPER(TRIM(Raw_Data!E76))</f>
        <v>Online</v>
      </c>
      <c r="F76" t="str">
        <f>PROPER(TRIM(Raw_Data!F76))</f>
        <v>Smb</v>
      </c>
      <c r="G76" t="str">
        <f>PROPER(TRIM(Raw_Data!G76))</f>
        <v>Laptop</v>
      </c>
      <c r="H76" t="str">
        <f>PROPER(TRIM(Raw_Data!H76))</f>
        <v>Business Laptop 15</v>
      </c>
      <c r="I76">
        <f>IFERROR(MAX(0,VALUE(Raw_Data!I76)),0)</f>
        <v>7</v>
      </c>
      <c r="J76" s="13">
        <f>IFERROR(VALUE(Raw_Data!J76),0)</f>
        <v>0</v>
      </c>
      <c r="K76" s="14">
        <f>IFERROR(VALUE(Raw_Data!K76),0)</f>
        <v>0.08</v>
      </c>
      <c r="L76" t="str">
        <f>PROPER(TRIM(Raw_Data!L76))</f>
        <v>Cancelled</v>
      </c>
      <c r="M76" s="13">
        <f t="shared" si="8"/>
        <v>0</v>
      </c>
      <c r="N76" s="13">
        <f t="shared" si="9"/>
        <v>0</v>
      </c>
      <c r="O76" s="13">
        <f t="shared" si="10"/>
        <v>0</v>
      </c>
      <c r="P76" s="13">
        <f t="shared" si="11"/>
        <v>0</v>
      </c>
      <c r="Q76" s="13">
        <f t="shared" si="12"/>
        <v>0</v>
      </c>
      <c r="R76" s="10">
        <f t="shared" si="13"/>
        <v>0</v>
      </c>
      <c r="S76" t="str">
        <f t="shared" si="14"/>
        <v>Feb-2026</v>
      </c>
      <c r="T76" t="str">
        <f t="shared" si="15"/>
        <v>CHECK</v>
      </c>
    </row>
    <row r="77" spans="1:20">
      <c r="A77" t="str">
        <f>TRIM(Raw_Data!A77)</f>
        <v>ORD-10076</v>
      </c>
      <c r="B77" s="12">
        <f>IFERROR(IF(ISNUMBER(Raw_Data!B77),Raw_Data!B77,DATEVALUE(Raw_Data!B77)),"")</f>
        <v>46200</v>
      </c>
      <c r="C77" t="str">
        <f>PROPER(TRIM(Raw_Data!C77))</f>
        <v>Bhoomika</v>
      </c>
      <c r="D77" t="str">
        <f>IF(TRIM(Raw_Data!D77)="Bangalore","Bengaluru",IF(TRIM(Raw_Data!D77)="Mysore","Mysuru",IF(TRIM(Raw_Data!D77)="Cochin","Kochi",PROPER(TRIM(Raw_Data!D77)))))</f>
        <v>Chennai</v>
      </c>
      <c r="E77" t="str">
        <f>PROPER(TRIM(Raw_Data!E77))</f>
        <v>Online</v>
      </c>
      <c r="F77" t="str">
        <f>PROPER(TRIM(Raw_Data!F77))</f>
        <v>Enterprise</v>
      </c>
      <c r="G77" t="str">
        <f>PROPER(TRIM(Raw_Data!G77))</f>
        <v>Monitor</v>
      </c>
      <c r="H77" t="str">
        <f>PROPER(TRIM(Raw_Data!H77))</f>
        <v>Monitor 24</v>
      </c>
      <c r="I77">
        <f>IFERROR(MAX(0,VALUE(Raw_Data!I77)),0)</f>
        <v>5</v>
      </c>
      <c r="J77" s="13">
        <f>IFERROR(VALUE(Raw_Data!J77),0)</f>
        <v>19053</v>
      </c>
      <c r="K77" s="14">
        <f>IFERROR(VALUE(Raw_Data!K77),0)</f>
        <v>0.15</v>
      </c>
      <c r="L77" t="str">
        <f>PROPER(TRIM(Raw_Data!L77))</f>
        <v>Delivered</v>
      </c>
      <c r="M77" s="13">
        <f t="shared" si="8"/>
        <v>95265</v>
      </c>
      <c r="N77" s="13">
        <f t="shared" si="9"/>
        <v>14289.75</v>
      </c>
      <c r="O77" s="13">
        <f t="shared" si="10"/>
        <v>80975.25</v>
      </c>
      <c r="P77" s="13">
        <f t="shared" si="11"/>
        <v>66685.5</v>
      </c>
      <c r="Q77" s="13">
        <f t="shared" si="12"/>
        <v>14289.75</v>
      </c>
      <c r="R77" s="10">
        <f t="shared" si="13"/>
        <v>0.176470588235294</v>
      </c>
      <c r="S77" t="str">
        <f t="shared" si="14"/>
        <v>Jun-2026</v>
      </c>
      <c r="T77" t="str">
        <f t="shared" si="15"/>
        <v>OK</v>
      </c>
    </row>
    <row r="78" spans="1:20">
      <c r="A78" t="str">
        <f>TRIM(Raw_Data!A78)</f>
        <v>ORD-10077</v>
      </c>
      <c r="B78" s="12">
        <f>IFERROR(IF(ISNUMBER(Raw_Data!B78),Raw_Data!B78,DATEVALUE(Raw_Data!B78)),"")</f>
        <v>46216</v>
      </c>
      <c r="C78" t="str">
        <f>PROPER(TRIM(Raw_Data!C78))</f>
        <v>Priya</v>
      </c>
      <c r="D78" t="str">
        <f>IF(TRIM(Raw_Data!D78)="Bangalore","Bengaluru",IF(TRIM(Raw_Data!D78)="Mysore","Mysuru",IF(TRIM(Raw_Data!D78)="Cochin","Kochi",PROPER(TRIM(Raw_Data!D78)))))</f>
        <v>Mysuru</v>
      </c>
      <c r="E78" t="str">
        <f>PROPER(TRIM(Raw_Data!E78))</f>
        <v>Retail Store</v>
      </c>
      <c r="F78" t="str">
        <f>PROPER(TRIM(Raw_Data!F78))</f>
        <v>Smb</v>
      </c>
      <c r="G78" t="str">
        <f>PROPER(TRIM(Raw_Data!G78))</f>
        <v>Headset</v>
      </c>
      <c r="H78" t="str">
        <f>PROPER(TRIM(Raw_Data!H78))</f>
        <v>Headset Pro</v>
      </c>
      <c r="I78">
        <f>IFERROR(MAX(0,VALUE(Raw_Data!I78)),0)</f>
        <v>1</v>
      </c>
      <c r="J78" s="13">
        <f>IFERROR(VALUE(Raw_Data!J78),0)</f>
        <v>2419</v>
      </c>
      <c r="K78" s="14">
        <f>IFERROR(VALUE(Raw_Data!K78),0)</f>
        <v>0.1</v>
      </c>
      <c r="L78" t="str">
        <f>PROPER(TRIM(Raw_Data!L78))</f>
        <v>Cancelled</v>
      </c>
      <c r="M78" s="13">
        <f t="shared" si="8"/>
        <v>2419</v>
      </c>
      <c r="N78" s="13">
        <f t="shared" si="9"/>
        <v>241.9</v>
      </c>
      <c r="O78" s="13">
        <f t="shared" si="10"/>
        <v>2177.1</v>
      </c>
      <c r="P78" s="13">
        <f t="shared" si="11"/>
        <v>1451.4</v>
      </c>
      <c r="Q78" s="13">
        <f t="shared" si="12"/>
        <v>725.7</v>
      </c>
      <c r="R78" s="10">
        <f t="shared" si="13"/>
        <v>0.333333333333333</v>
      </c>
      <c r="S78" t="str">
        <f t="shared" si="14"/>
        <v>Jul-2026</v>
      </c>
      <c r="T78" t="str">
        <f t="shared" si="15"/>
        <v>OK</v>
      </c>
    </row>
    <row r="79" spans="1:20">
      <c r="A79" t="str">
        <f>TRIM(Raw_Data!A79)</f>
        <v>ORD-10078</v>
      </c>
      <c r="B79" s="12">
        <f>IFERROR(IF(ISNUMBER(Raw_Data!B79),Raw_Data!B79,DATEVALUE(Raw_Data!B79)),"")</f>
        <v>46141</v>
      </c>
      <c r="C79" t="str">
        <f>PROPER(TRIM(Raw_Data!C79))</f>
        <v>Ravi</v>
      </c>
      <c r="D79" t="str">
        <f>IF(TRIM(Raw_Data!D79)="Bangalore","Bengaluru",IF(TRIM(Raw_Data!D79)="Mysore","Mysuru",IF(TRIM(Raw_Data!D79)="Cochin","Kochi",PROPER(TRIM(Raw_Data!D79)))))</f>
        <v>Bengaluru</v>
      </c>
      <c r="E79" t="str">
        <f>PROPER(TRIM(Raw_Data!E79))</f>
        <v>Online</v>
      </c>
      <c r="F79" t="str">
        <f>PROPER(TRIM(Raw_Data!F79))</f>
        <v>Enterprise</v>
      </c>
      <c r="G79" t="str">
        <f>PROPER(TRIM(Raw_Data!G79))</f>
        <v>Keyboard</v>
      </c>
      <c r="H79" t="str">
        <f>PROPER(TRIM(Raw_Data!H79))</f>
        <v>Keyboard Office</v>
      </c>
      <c r="I79">
        <f>IFERROR(MAX(0,VALUE(Raw_Data!I79)),0)</f>
        <v>2</v>
      </c>
      <c r="J79" s="13">
        <f>IFERROR(VALUE(Raw_Data!J79),0)</f>
        <v>1224</v>
      </c>
      <c r="K79" s="14">
        <f>IFERROR(VALUE(Raw_Data!K79),0)</f>
        <v>0</v>
      </c>
      <c r="L79" t="str">
        <f>PROPER(TRIM(Raw_Data!L79))</f>
        <v>Pending</v>
      </c>
      <c r="M79" s="13">
        <f t="shared" si="8"/>
        <v>2448</v>
      </c>
      <c r="N79" s="13">
        <f t="shared" si="9"/>
        <v>0</v>
      </c>
      <c r="O79" s="13">
        <f t="shared" si="10"/>
        <v>2448</v>
      </c>
      <c r="P79" s="13">
        <f t="shared" si="11"/>
        <v>1419.84</v>
      </c>
      <c r="Q79" s="13">
        <f t="shared" si="12"/>
        <v>1028.16</v>
      </c>
      <c r="R79" s="10">
        <f t="shared" si="13"/>
        <v>0.42</v>
      </c>
      <c r="S79" t="str">
        <f t="shared" si="14"/>
        <v>Apr-2026</v>
      </c>
      <c r="T79" t="str">
        <f t="shared" si="15"/>
        <v>OK</v>
      </c>
    </row>
    <row r="80" spans="1:20">
      <c r="A80" t="str">
        <f>TRIM(Raw_Data!A80)</f>
        <v>ORD-10079</v>
      </c>
      <c r="B80" s="12">
        <f>IFERROR(IF(ISNUMBER(Raw_Data!B80),Raw_Data!B80,DATEVALUE(Raw_Data!B80)),"")</f>
        <v>46137</v>
      </c>
      <c r="C80" t="str">
        <f>PROPER(TRIM(Raw_Data!C80))</f>
        <v>Meghana</v>
      </c>
      <c r="D80" t="str">
        <f>IF(TRIM(Raw_Data!D80)="Bangalore","Bengaluru",IF(TRIM(Raw_Data!D80)="Mysore","Mysuru",IF(TRIM(Raw_Data!D80)="Cochin","Kochi",PROPER(TRIM(Raw_Data!D80)))))</f>
        <v>Chennai</v>
      </c>
      <c r="E80" t="str">
        <f>PROPER(TRIM(Raw_Data!E80))</f>
        <v>Retail Store</v>
      </c>
      <c r="F80" t="str">
        <f>PROPER(TRIM(Raw_Data!F80))</f>
        <v>Consumer</v>
      </c>
      <c r="G80" t="str">
        <f>PROPER(TRIM(Raw_Data!G80))</f>
        <v>Mouse</v>
      </c>
      <c r="H80" t="str">
        <f>PROPER(TRIM(Raw_Data!H80))</f>
        <v>Mouse Ergonomic</v>
      </c>
      <c r="I80">
        <f>IFERROR(MAX(0,VALUE(Raw_Data!I80)),0)</f>
        <v>7</v>
      </c>
      <c r="J80" s="13">
        <f>IFERROR(VALUE(Raw_Data!J80),0)</f>
        <v>1185</v>
      </c>
      <c r="K80" s="14">
        <f>IFERROR(VALUE(Raw_Data!K80),0)</f>
        <v>0.1</v>
      </c>
      <c r="L80" t="str">
        <f>PROPER(TRIM(Raw_Data!L80))</f>
        <v>Delivered</v>
      </c>
      <c r="M80" s="13">
        <f t="shared" si="8"/>
        <v>8295</v>
      </c>
      <c r="N80" s="13">
        <f t="shared" si="9"/>
        <v>829.5</v>
      </c>
      <c r="O80" s="13">
        <f t="shared" si="10"/>
        <v>7465.5</v>
      </c>
      <c r="P80" s="13">
        <f t="shared" si="11"/>
        <v>4562.25</v>
      </c>
      <c r="Q80" s="13">
        <f t="shared" si="12"/>
        <v>2903.25</v>
      </c>
      <c r="R80" s="10">
        <f t="shared" si="13"/>
        <v>0.388888888888889</v>
      </c>
      <c r="S80" t="str">
        <f t="shared" si="14"/>
        <v>Apr-2026</v>
      </c>
      <c r="T80" t="str">
        <f t="shared" si="15"/>
        <v>OK</v>
      </c>
    </row>
    <row r="81" spans="1:20">
      <c r="A81" t="str">
        <f>TRIM(Raw_Data!A81)</f>
        <v>ORD-10080</v>
      </c>
      <c r="B81" s="12">
        <f>IFERROR(IF(ISNUMBER(Raw_Data!B81),Raw_Data!B81,DATEVALUE(Raw_Data!B81)),"")</f>
        <v>46230</v>
      </c>
      <c r="C81" t="str">
        <f>PROPER(TRIM(Raw_Data!C81))</f>
        <v>Asha</v>
      </c>
      <c r="D81" t="str">
        <f>IF(TRIM(Raw_Data!D81)="Bangalore","Bengaluru",IF(TRIM(Raw_Data!D81)="Mysore","Mysuru",IF(TRIM(Raw_Data!D81)="Cochin","Kochi",PROPER(TRIM(Raw_Data!D81)))))</f>
        <v>Bengaluru</v>
      </c>
      <c r="E81" t="str">
        <f>PROPER(TRIM(Raw_Data!E81))</f>
        <v>Retail Store</v>
      </c>
      <c r="F81" t="str">
        <f>PROPER(TRIM(Raw_Data!F81))</f>
        <v>Smb</v>
      </c>
      <c r="G81" t="str">
        <f>PROPER(TRIM(Raw_Data!G81))</f>
        <v>Mouse</v>
      </c>
      <c r="H81" t="str">
        <f>PROPER(TRIM(Raw_Data!H81))</f>
        <v>Mouse Basic</v>
      </c>
      <c r="I81">
        <f>IFERROR(MAX(0,VALUE(Raw_Data!I81)),0)</f>
        <v>1</v>
      </c>
      <c r="J81" s="13">
        <f>IFERROR(VALUE(Raw_Data!J81),0)</f>
        <v>1113</v>
      </c>
      <c r="K81" s="14">
        <f>IFERROR(VALUE(Raw_Data!K81),0)</f>
        <v>0.08</v>
      </c>
      <c r="L81" t="str">
        <f>PROPER(TRIM(Raw_Data!L81))</f>
        <v>Cancelled</v>
      </c>
      <c r="M81" s="13">
        <f t="shared" si="8"/>
        <v>1113</v>
      </c>
      <c r="N81" s="13">
        <f t="shared" si="9"/>
        <v>89.04</v>
      </c>
      <c r="O81" s="13">
        <f t="shared" si="10"/>
        <v>1023.96</v>
      </c>
      <c r="P81" s="13">
        <f t="shared" si="11"/>
        <v>612.15</v>
      </c>
      <c r="Q81" s="13">
        <f t="shared" si="12"/>
        <v>411.81</v>
      </c>
      <c r="R81" s="10">
        <f t="shared" si="13"/>
        <v>0.402173913043478</v>
      </c>
      <c r="S81" t="str">
        <f t="shared" si="14"/>
        <v>Jul-2026</v>
      </c>
      <c r="T81" t="str">
        <f t="shared" si="15"/>
        <v>OK</v>
      </c>
    </row>
    <row r="82" spans="1:20">
      <c r="A82" t="str">
        <f>TRIM(Raw_Data!A82)</f>
        <v>ORD-10081</v>
      </c>
      <c r="B82" s="12">
        <f>IFERROR(IF(ISNUMBER(Raw_Data!B82),Raw_Data!B82,DATEVALUE(Raw_Data!B82)),"")</f>
        <v>46232</v>
      </c>
      <c r="C82" t="str">
        <f>PROPER(TRIM(Raw_Data!C82))</f>
        <v>Priya</v>
      </c>
      <c r="D82" t="str">
        <f>IF(TRIM(Raw_Data!D82)="Bangalore","Bengaluru",IF(TRIM(Raw_Data!D82)="Mysore","Mysuru",IF(TRIM(Raw_Data!D82)="Cochin","Kochi",PROPER(TRIM(Raw_Data!D82)))))</f>
        <v>Mumbai</v>
      </c>
      <c r="E82" t="str">
        <f>PROPER(TRIM(Raw_Data!E82))</f>
        <v>Retail Store</v>
      </c>
      <c r="F82" t="str">
        <f>PROPER(TRIM(Raw_Data!F82))</f>
        <v>Enterprise</v>
      </c>
      <c r="G82" t="str">
        <f>PROPER(TRIM(Raw_Data!G82))</f>
        <v>Keyboard</v>
      </c>
      <c r="H82" t="str">
        <f>PROPER(TRIM(Raw_Data!H82))</f>
        <v>Keyboard Wireless</v>
      </c>
      <c r="I82">
        <f>IFERROR(MAX(0,VALUE(Raw_Data!I82)),0)</f>
        <v>5</v>
      </c>
      <c r="J82" s="13">
        <f>IFERROR(VALUE(Raw_Data!J82),0)</f>
        <v>3010</v>
      </c>
      <c r="K82" s="14">
        <f>IFERROR(VALUE(Raw_Data!K82),0)</f>
        <v>0</v>
      </c>
      <c r="L82" t="str">
        <f>PROPER(TRIM(Raw_Data!L82))</f>
        <v>Cancelled</v>
      </c>
      <c r="M82" s="13">
        <f t="shared" si="8"/>
        <v>15050</v>
      </c>
      <c r="N82" s="13">
        <f t="shared" si="9"/>
        <v>0</v>
      </c>
      <c r="O82" s="13">
        <f t="shared" si="10"/>
        <v>15050</v>
      </c>
      <c r="P82" s="13">
        <f t="shared" si="11"/>
        <v>8729</v>
      </c>
      <c r="Q82" s="13">
        <f t="shared" si="12"/>
        <v>6321</v>
      </c>
      <c r="R82" s="10">
        <f t="shared" si="13"/>
        <v>0.42</v>
      </c>
      <c r="S82" t="str">
        <f t="shared" si="14"/>
        <v>Jul-2026</v>
      </c>
      <c r="T82" t="str">
        <f t="shared" si="15"/>
        <v>OK</v>
      </c>
    </row>
    <row r="83" spans="1:20">
      <c r="A83" t="str">
        <f>TRIM(Raw_Data!A83)</f>
        <v>ORD-10082</v>
      </c>
      <c r="B83" s="12">
        <f>IFERROR(IF(ISNUMBER(Raw_Data!B83),Raw_Data!B83,DATEVALUE(Raw_Data!B83)),"")</f>
        <v>46240</v>
      </c>
      <c r="C83" t="str">
        <f>PROPER(TRIM(Raw_Data!C83))</f>
        <v>Arjun</v>
      </c>
      <c r="D83" t="str">
        <f>IF(TRIM(Raw_Data!D83)="Bangalore","Bengaluru",IF(TRIM(Raw_Data!D83)="Mysore","Mysuru",IF(TRIM(Raw_Data!D83)="Cochin","Kochi",PROPER(TRIM(Raw_Data!D83)))))</f>
        <v>Hyderabad</v>
      </c>
      <c r="E83" t="str">
        <f>PROPER(TRIM(Raw_Data!E83))</f>
        <v>Retail Store</v>
      </c>
      <c r="F83" t="str">
        <f>PROPER(TRIM(Raw_Data!F83))</f>
        <v>Consumer</v>
      </c>
      <c r="G83" t="str">
        <f>PROPER(TRIM(Raw_Data!G83))</f>
        <v>Monitor</v>
      </c>
      <c r="H83" t="str">
        <f>PROPER(TRIM(Raw_Data!H83))</f>
        <v>Monitor 27</v>
      </c>
      <c r="I83">
        <f>IFERROR(MAX(0,VALUE(Raw_Data!I83)),0)</f>
        <v>3</v>
      </c>
      <c r="J83" s="13">
        <f>IFERROR(VALUE(Raw_Data!J83),0)</f>
        <v>10888</v>
      </c>
      <c r="K83" s="14">
        <f>IFERROR(VALUE(Raw_Data!K83),0)</f>
        <v>0.08</v>
      </c>
      <c r="L83" t="str">
        <f>PROPER(TRIM(Raw_Data!L83))</f>
        <v>Delivered</v>
      </c>
      <c r="M83" s="13">
        <f t="shared" si="8"/>
        <v>32664</v>
      </c>
      <c r="N83" s="13">
        <f t="shared" si="9"/>
        <v>2613.12</v>
      </c>
      <c r="O83" s="13">
        <f t="shared" si="10"/>
        <v>30050.88</v>
      </c>
      <c r="P83" s="13">
        <f t="shared" si="11"/>
        <v>22864.8</v>
      </c>
      <c r="Q83" s="13">
        <f t="shared" si="12"/>
        <v>7186.08</v>
      </c>
      <c r="R83" s="10">
        <f t="shared" si="13"/>
        <v>0.239130434782609</v>
      </c>
      <c r="S83" t="str">
        <f t="shared" si="14"/>
        <v>Aug-2026</v>
      </c>
      <c r="T83" t="str">
        <f t="shared" si="15"/>
        <v>OK</v>
      </c>
    </row>
    <row r="84" spans="1:20">
      <c r="A84" t="str">
        <f>TRIM(Raw_Data!A84)</f>
        <v>ORD-10083</v>
      </c>
      <c r="B84" s="12">
        <f>IFERROR(IF(ISNUMBER(Raw_Data!B84),Raw_Data!B84,DATEVALUE(Raw_Data!B84)),"")</f>
        <v>46166</v>
      </c>
      <c r="C84" t="str">
        <f>PROPER(TRIM(Raw_Data!C84))</f>
        <v>Meghana</v>
      </c>
      <c r="D84" t="str">
        <f>IF(TRIM(Raw_Data!D84)="Bangalore","Bengaluru",IF(TRIM(Raw_Data!D84)="Mysore","Mysuru",IF(TRIM(Raw_Data!D84)="Cochin","Kochi",PROPER(TRIM(Raw_Data!D84)))))</f>
        <v>Pune</v>
      </c>
      <c r="E84" t="str">
        <f>PROPER(TRIM(Raw_Data!E84))</f>
        <v>Retail Store</v>
      </c>
      <c r="F84" t="str">
        <f>PROPER(TRIM(Raw_Data!F84))</f>
        <v>Enterprise</v>
      </c>
      <c r="G84" t="str">
        <f>PROPER(TRIM(Raw_Data!G84))</f>
        <v>Monitor</v>
      </c>
      <c r="H84" t="str">
        <f>PROPER(TRIM(Raw_Data!H84))</f>
        <v>Monitor 27</v>
      </c>
      <c r="I84">
        <f>IFERROR(MAX(0,VALUE(Raw_Data!I84)),0)</f>
        <v>2</v>
      </c>
      <c r="J84" s="13">
        <f>IFERROR(VALUE(Raw_Data!J84),0)</f>
        <v>18934</v>
      </c>
      <c r="K84" s="14">
        <f>IFERROR(VALUE(Raw_Data!K84),0)</f>
        <v>0.15</v>
      </c>
      <c r="L84" t="str">
        <f>PROPER(TRIM(Raw_Data!L84))</f>
        <v>Pending</v>
      </c>
      <c r="M84" s="13">
        <f t="shared" si="8"/>
        <v>37868</v>
      </c>
      <c r="N84" s="13">
        <f t="shared" si="9"/>
        <v>5680.2</v>
      </c>
      <c r="O84" s="13">
        <f t="shared" si="10"/>
        <v>32187.8</v>
      </c>
      <c r="P84" s="13">
        <f t="shared" si="11"/>
        <v>26507.6</v>
      </c>
      <c r="Q84" s="13">
        <f t="shared" si="12"/>
        <v>5680.2</v>
      </c>
      <c r="R84" s="10">
        <f t="shared" si="13"/>
        <v>0.176470588235294</v>
      </c>
      <c r="S84" t="str">
        <f t="shared" si="14"/>
        <v>May-2026</v>
      </c>
      <c r="T84" t="str">
        <f t="shared" si="15"/>
        <v>OK</v>
      </c>
    </row>
    <row r="85" spans="1:20">
      <c r="A85" t="str">
        <f>TRIM(Raw_Data!A85)</f>
        <v>ORD-10084</v>
      </c>
      <c r="B85" s="12">
        <f>IFERROR(IF(ISNUMBER(Raw_Data!B85),Raw_Data!B85,DATEVALUE(Raw_Data!B85)),"")</f>
        <v>46104</v>
      </c>
      <c r="C85" t="str">
        <f>PROPER(TRIM(Raw_Data!C85))</f>
        <v>Kiran</v>
      </c>
      <c r="D85" t="str">
        <f>IF(TRIM(Raw_Data!D85)="Bangalore","Bengaluru",IF(TRIM(Raw_Data!D85)="Mysore","Mysuru",IF(TRIM(Raw_Data!D85)="Cochin","Kochi",PROPER(TRIM(Raw_Data!D85)))))</f>
        <v>Delhi</v>
      </c>
      <c r="E85" t="str">
        <f>PROPER(TRIM(Raw_Data!E85))</f>
        <v>Online</v>
      </c>
      <c r="F85" t="str">
        <f>PROPER(TRIM(Raw_Data!F85))</f>
        <v>Smb</v>
      </c>
      <c r="G85" t="str">
        <f>PROPER(TRIM(Raw_Data!G85))</f>
        <v>Monitor</v>
      </c>
      <c r="H85" t="str">
        <f>PROPER(TRIM(Raw_Data!H85))</f>
        <v>Monitor 27</v>
      </c>
      <c r="I85">
        <f>IFERROR(MAX(0,VALUE(Raw_Data!I85)),0)</f>
        <v>5</v>
      </c>
      <c r="J85" s="13">
        <f>IFERROR(VALUE(Raw_Data!J85),0)</f>
        <v>10498</v>
      </c>
      <c r="K85" s="14">
        <f>IFERROR(VALUE(Raw_Data!K85),0)</f>
        <v>0.1</v>
      </c>
      <c r="L85" t="str">
        <f>PROPER(TRIM(Raw_Data!L85))</f>
        <v>Cancelled</v>
      </c>
      <c r="M85" s="13">
        <f t="shared" si="8"/>
        <v>52490</v>
      </c>
      <c r="N85" s="13">
        <f t="shared" si="9"/>
        <v>5249</v>
      </c>
      <c r="O85" s="13">
        <f t="shared" si="10"/>
        <v>47241</v>
      </c>
      <c r="P85" s="13">
        <f t="shared" si="11"/>
        <v>36743</v>
      </c>
      <c r="Q85" s="13">
        <f t="shared" si="12"/>
        <v>10498</v>
      </c>
      <c r="R85" s="10">
        <f t="shared" si="13"/>
        <v>0.222222222222222</v>
      </c>
      <c r="S85" t="str">
        <f t="shared" si="14"/>
        <v>Mar-2026</v>
      </c>
      <c r="T85" t="str">
        <f t="shared" si="15"/>
        <v>OK</v>
      </c>
    </row>
    <row r="86" spans="1:20">
      <c r="A86" t="str">
        <f>TRIM(Raw_Data!A86)</f>
        <v>ORD-10085</v>
      </c>
      <c r="B86" s="12">
        <f>IFERROR(IF(ISNUMBER(Raw_Data!B86),Raw_Data!B86,DATEVALUE(Raw_Data!B86)),"")</f>
        <v>46066</v>
      </c>
      <c r="C86" t="str">
        <f>PROPER(TRIM(Raw_Data!C86))</f>
        <v>Kiran</v>
      </c>
      <c r="D86" t="str">
        <f>IF(TRIM(Raw_Data!D86)="Bangalore","Bengaluru",IF(TRIM(Raw_Data!D86)="Mysore","Mysuru",IF(TRIM(Raw_Data!D86)="Cochin","Kochi",PROPER(TRIM(Raw_Data!D86)))))</f>
        <v>Mysuru</v>
      </c>
      <c r="E86" t="str">
        <f>PROPER(TRIM(Raw_Data!E86))</f>
        <v>Online</v>
      </c>
      <c r="F86" t="str">
        <f>PROPER(TRIM(Raw_Data!F86))</f>
        <v>Smb</v>
      </c>
      <c r="G86" t="str">
        <f>PROPER(TRIM(Raw_Data!G86))</f>
        <v>Monitor</v>
      </c>
      <c r="H86" t="str">
        <f>PROPER(TRIM(Raw_Data!H86))</f>
        <v>Monitor 32</v>
      </c>
      <c r="I86">
        <f>IFERROR(MAX(0,VALUE(Raw_Data!I86)),0)</f>
        <v>2</v>
      </c>
      <c r="J86" s="13">
        <f>IFERROR(VALUE(Raw_Data!J86),0)</f>
        <v>26764</v>
      </c>
      <c r="K86" s="14">
        <f>IFERROR(VALUE(Raw_Data!K86),0)</f>
        <v>0</v>
      </c>
      <c r="L86" t="str">
        <f>PROPER(TRIM(Raw_Data!L86))</f>
        <v>Delivered</v>
      </c>
      <c r="M86" s="13">
        <f t="shared" si="8"/>
        <v>53528</v>
      </c>
      <c r="N86" s="13">
        <f t="shared" si="9"/>
        <v>0</v>
      </c>
      <c r="O86" s="13">
        <f t="shared" si="10"/>
        <v>53528</v>
      </c>
      <c r="P86" s="13">
        <f t="shared" si="11"/>
        <v>37469.6</v>
      </c>
      <c r="Q86" s="13">
        <f t="shared" si="12"/>
        <v>16058.4</v>
      </c>
      <c r="R86" s="10">
        <f t="shared" si="13"/>
        <v>0.3</v>
      </c>
      <c r="S86" t="str">
        <f t="shared" si="14"/>
        <v>Feb-2026</v>
      </c>
      <c r="T86" t="str">
        <f t="shared" si="15"/>
        <v>OK</v>
      </c>
    </row>
    <row r="87" spans="1:20">
      <c r="A87" t="str">
        <f>TRIM(Raw_Data!A87)</f>
        <v>ORD-10086</v>
      </c>
      <c r="B87" s="12">
        <f>IFERROR(IF(ISNUMBER(Raw_Data!B87),Raw_Data!B87,DATEVALUE(Raw_Data!B87)),"")</f>
        <v>46164</v>
      </c>
      <c r="C87" t="str">
        <f>PROPER(TRIM(Raw_Data!C87))</f>
        <v>Priya</v>
      </c>
      <c r="D87" t="str">
        <f>IF(TRIM(Raw_Data!D87)="Bangalore","Bengaluru",IF(TRIM(Raw_Data!D87)="Mysore","Mysuru",IF(TRIM(Raw_Data!D87)="Cochin","Kochi",PROPER(TRIM(Raw_Data!D87)))))</f>
        <v>Bengaluru</v>
      </c>
      <c r="E87" t="str">
        <f>PROPER(TRIM(Raw_Data!E87))</f>
        <v>Retail Store</v>
      </c>
      <c r="F87" t="str">
        <f>PROPER(TRIM(Raw_Data!F87))</f>
        <v>Enterprise</v>
      </c>
      <c r="G87" t="str">
        <f>PROPER(TRIM(Raw_Data!G87))</f>
        <v>Mouse</v>
      </c>
      <c r="H87" t="str">
        <f>PROPER(TRIM(Raw_Data!H87))</f>
        <v>Mouse Wireless</v>
      </c>
      <c r="I87">
        <f>IFERROR(MAX(0,VALUE(Raw_Data!I87)),0)</f>
        <v>7</v>
      </c>
      <c r="J87" s="13">
        <f>IFERROR(VALUE(Raw_Data!J87),0)</f>
        <v>770</v>
      </c>
      <c r="K87" s="14">
        <f>IFERROR(VALUE(Raw_Data!K87),0)</f>
        <v>0.02</v>
      </c>
      <c r="L87" t="str">
        <f>PROPER(TRIM(Raw_Data!L87))</f>
        <v>Delivered</v>
      </c>
      <c r="M87" s="13">
        <f t="shared" si="8"/>
        <v>5390</v>
      </c>
      <c r="N87" s="13">
        <f t="shared" si="9"/>
        <v>107.8</v>
      </c>
      <c r="O87" s="13">
        <f t="shared" si="10"/>
        <v>5282.2</v>
      </c>
      <c r="P87" s="13">
        <f t="shared" si="11"/>
        <v>2964.5</v>
      </c>
      <c r="Q87" s="13">
        <f t="shared" si="12"/>
        <v>2317.7</v>
      </c>
      <c r="R87" s="10">
        <f t="shared" si="13"/>
        <v>0.438775510204082</v>
      </c>
      <c r="S87" t="str">
        <f t="shared" si="14"/>
        <v>May-2026</v>
      </c>
      <c r="T87" t="str">
        <f t="shared" si="15"/>
        <v>OK</v>
      </c>
    </row>
    <row r="88" spans="1:20">
      <c r="A88" t="str">
        <f>TRIM(Raw_Data!A88)</f>
        <v>ORD-10087</v>
      </c>
      <c r="B88" s="12">
        <f>IFERROR(IF(ISNUMBER(Raw_Data!B88),Raw_Data!B88,DATEVALUE(Raw_Data!B88)),"")</f>
        <v>46190</v>
      </c>
      <c r="C88" t="str">
        <f>PROPER(TRIM(Raw_Data!C88))</f>
        <v>Kiran</v>
      </c>
      <c r="D88" t="str">
        <f>IF(TRIM(Raw_Data!D88)="Bangalore","Bengaluru",IF(TRIM(Raw_Data!D88)="Mysore","Mysuru",IF(TRIM(Raw_Data!D88)="Cochin","Kochi",PROPER(TRIM(Raw_Data!D88)))))</f>
        <v>Kochi</v>
      </c>
      <c r="E88" t="str">
        <f>PROPER(TRIM(Raw_Data!E88))</f>
        <v>Online</v>
      </c>
      <c r="F88" t="str">
        <f>PROPER(TRIM(Raw_Data!F88))</f>
        <v>Smb</v>
      </c>
      <c r="G88" t="str">
        <f>PROPER(TRIM(Raw_Data!G88))</f>
        <v>Laptop</v>
      </c>
      <c r="H88" t="str">
        <f>PROPER(TRIM(Raw_Data!H88))</f>
        <v>Laptop Pro 14</v>
      </c>
      <c r="I88">
        <f>IFERROR(MAX(0,VALUE(Raw_Data!I88)),0)</f>
        <v>1</v>
      </c>
      <c r="J88" s="13">
        <f>IFERROR(VALUE(Raw_Data!J88),0)</f>
        <v>69855</v>
      </c>
      <c r="K88" s="14">
        <f>IFERROR(VALUE(Raw_Data!K88),0)</f>
        <v>0.15</v>
      </c>
      <c r="L88" t="str">
        <f>PROPER(TRIM(Raw_Data!L88))</f>
        <v>Delivered</v>
      </c>
      <c r="M88" s="13">
        <f t="shared" si="8"/>
        <v>69855</v>
      </c>
      <c r="N88" s="13">
        <f t="shared" si="9"/>
        <v>10478.25</v>
      </c>
      <c r="O88" s="13">
        <f t="shared" si="10"/>
        <v>59376.75</v>
      </c>
      <c r="P88" s="13">
        <f t="shared" si="11"/>
        <v>54486.9</v>
      </c>
      <c r="Q88" s="13">
        <f t="shared" si="12"/>
        <v>4889.85</v>
      </c>
      <c r="R88" s="10">
        <f t="shared" si="13"/>
        <v>0.0823529411764706</v>
      </c>
      <c r="S88" t="str">
        <f t="shared" si="14"/>
        <v>Jun-2026</v>
      </c>
      <c r="T88" t="str">
        <f t="shared" si="15"/>
        <v>OK</v>
      </c>
    </row>
    <row r="89" spans="1:20">
      <c r="A89" t="str">
        <f>TRIM(Raw_Data!A89)</f>
        <v>ORD-10088</v>
      </c>
      <c r="B89" s="12">
        <f>IFERROR(IF(ISNUMBER(Raw_Data!B89),Raw_Data!B89,DATEVALUE(Raw_Data!B89)),"")</f>
        <v>46240</v>
      </c>
      <c r="C89" t="str">
        <f>PROPER(TRIM(Raw_Data!C89))</f>
        <v>Kiran</v>
      </c>
      <c r="D89" t="str">
        <f>IF(TRIM(Raw_Data!D89)="Bangalore","Bengaluru",IF(TRIM(Raw_Data!D89)="Mysore","Mysuru",IF(TRIM(Raw_Data!D89)="Cochin","Kochi",PROPER(TRIM(Raw_Data!D89)))))</f>
        <v>Pune</v>
      </c>
      <c r="E89" t="str">
        <f>PROPER(TRIM(Raw_Data!E89))</f>
        <v>Retail Store</v>
      </c>
      <c r="F89" t="str">
        <f>PROPER(TRIM(Raw_Data!F89))</f>
        <v>Smb</v>
      </c>
      <c r="G89" t="str">
        <f>PROPER(TRIM(Raw_Data!G89))</f>
        <v>Keyboard</v>
      </c>
      <c r="H89" t="str">
        <f>PROPER(TRIM(Raw_Data!H89))</f>
        <v>Keyboard Wireless</v>
      </c>
      <c r="I89">
        <f>IFERROR(MAX(0,VALUE(Raw_Data!I89)),0)</f>
        <v>3</v>
      </c>
      <c r="J89" s="13">
        <f>IFERROR(VALUE(Raw_Data!J89),0)</f>
        <v>4462</v>
      </c>
      <c r="K89" s="14">
        <f>IFERROR(VALUE(Raw_Data!K89),0)</f>
        <v>0.1</v>
      </c>
      <c r="L89" t="str">
        <f>PROPER(TRIM(Raw_Data!L89))</f>
        <v>Delivered</v>
      </c>
      <c r="M89" s="13">
        <f t="shared" si="8"/>
        <v>13386</v>
      </c>
      <c r="N89" s="13">
        <f t="shared" si="9"/>
        <v>1338.6</v>
      </c>
      <c r="O89" s="13">
        <f t="shared" si="10"/>
        <v>12047.4</v>
      </c>
      <c r="P89" s="13">
        <f t="shared" si="11"/>
        <v>7763.88</v>
      </c>
      <c r="Q89" s="13">
        <f t="shared" si="12"/>
        <v>4283.52</v>
      </c>
      <c r="R89" s="10">
        <f t="shared" si="13"/>
        <v>0.355555555555556</v>
      </c>
      <c r="S89" t="str">
        <f t="shared" si="14"/>
        <v>Aug-2026</v>
      </c>
      <c r="T89" t="str">
        <f t="shared" si="15"/>
        <v>OK</v>
      </c>
    </row>
    <row r="90" spans="1:20">
      <c r="A90" t="str">
        <f>TRIM(Raw_Data!A90)</f>
        <v>ORD-10089</v>
      </c>
      <c r="B90" s="12">
        <f>IFERROR(IF(ISNUMBER(Raw_Data!B90),Raw_Data!B90,DATEVALUE(Raw_Data!B90)),"")</f>
        <v>46175</v>
      </c>
      <c r="C90" t="str">
        <f>PROPER(TRIM(Raw_Data!C90))</f>
        <v>Kiran</v>
      </c>
      <c r="D90" t="str">
        <f>IF(TRIM(Raw_Data!D90)="Bangalore","Bengaluru",IF(TRIM(Raw_Data!D90)="Mysore","Mysuru",IF(TRIM(Raw_Data!D90)="Cochin","Kochi",PROPER(TRIM(Raw_Data!D90)))))</f>
        <v>Bengaluru</v>
      </c>
      <c r="E90" t="str">
        <f>PROPER(TRIM(Raw_Data!E90))</f>
        <v>Online</v>
      </c>
      <c r="F90" t="str">
        <f>PROPER(TRIM(Raw_Data!F90))</f>
        <v>Smb</v>
      </c>
      <c r="G90" t="str">
        <f>PROPER(TRIM(Raw_Data!G90))</f>
        <v>Mouse</v>
      </c>
      <c r="H90" t="str">
        <f>PROPER(TRIM(Raw_Data!H90))</f>
        <v>Mouse Ergonomic</v>
      </c>
      <c r="I90">
        <f>IFERROR(MAX(0,VALUE(Raw_Data!I90)),0)</f>
        <v>7</v>
      </c>
      <c r="J90" s="13">
        <f>IFERROR(VALUE(Raw_Data!J90),0)</f>
        <v>0</v>
      </c>
      <c r="K90" s="14">
        <f>IFERROR(VALUE(Raw_Data!K90),0)</f>
        <v>0.08</v>
      </c>
      <c r="L90" t="str">
        <f>PROPER(TRIM(Raw_Data!L90))</f>
        <v>Delivered</v>
      </c>
      <c r="M90" s="13">
        <f t="shared" si="8"/>
        <v>0</v>
      </c>
      <c r="N90" s="13">
        <f t="shared" si="9"/>
        <v>0</v>
      </c>
      <c r="O90" s="13">
        <f t="shared" si="10"/>
        <v>0</v>
      </c>
      <c r="P90" s="13">
        <f t="shared" si="11"/>
        <v>0</v>
      </c>
      <c r="Q90" s="13">
        <f t="shared" si="12"/>
        <v>0</v>
      </c>
      <c r="R90" s="10">
        <f t="shared" si="13"/>
        <v>0</v>
      </c>
      <c r="S90" t="str">
        <f t="shared" si="14"/>
        <v>Jun-2026</v>
      </c>
      <c r="T90" t="str">
        <f t="shared" si="15"/>
        <v>CHECK</v>
      </c>
    </row>
    <row r="91" spans="1:20">
      <c r="A91" t="str">
        <f>TRIM(Raw_Data!A91)</f>
        <v>ORD-10090</v>
      </c>
      <c r="B91" s="12">
        <f>IFERROR(IF(ISNUMBER(Raw_Data!B91),Raw_Data!B91,DATEVALUE(Raw_Data!B91)),"")</f>
        <v>46115</v>
      </c>
      <c r="C91" t="str">
        <f>PROPER(TRIM(Raw_Data!C91))</f>
        <v>Ravi</v>
      </c>
      <c r="D91" t="str">
        <f>IF(TRIM(Raw_Data!D91)="Bangalore","Bengaluru",IF(TRIM(Raw_Data!D91)="Mysore","Mysuru",IF(TRIM(Raw_Data!D91)="Cochin","Kochi",PROPER(TRIM(Raw_Data!D91)))))</f>
        <v>Hyderabad</v>
      </c>
      <c r="E91" t="str">
        <f>PROPER(TRIM(Raw_Data!E91))</f>
        <v>Retail Store</v>
      </c>
      <c r="F91" t="str">
        <f>PROPER(TRIM(Raw_Data!F91))</f>
        <v>Enterprise</v>
      </c>
      <c r="G91" t="str">
        <f>PROPER(TRIM(Raw_Data!G91))</f>
        <v>Keyboard</v>
      </c>
      <c r="H91" t="str">
        <f>PROPER(TRIM(Raw_Data!H91))</f>
        <v>Keyboard Wireless</v>
      </c>
      <c r="I91">
        <f>IFERROR(MAX(0,VALUE(Raw_Data!I91)),0)</f>
        <v>7</v>
      </c>
      <c r="J91" s="13">
        <f>IFERROR(VALUE(Raw_Data!J91),0)</f>
        <v>4730</v>
      </c>
      <c r="K91" s="14">
        <f>IFERROR(VALUE(Raw_Data!K91),0)</f>
        <v>0</v>
      </c>
      <c r="L91" t="str">
        <f>PROPER(TRIM(Raw_Data!L91))</f>
        <v>Delivered</v>
      </c>
      <c r="M91" s="13">
        <f t="shared" si="8"/>
        <v>33110</v>
      </c>
      <c r="N91" s="13">
        <f t="shared" si="9"/>
        <v>0</v>
      </c>
      <c r="O91" s="13">
        <f t="shared" si="10"/>
        <v>33110</v>
      </c>
      <c r="P91" s="13">
        <f t="shared" si="11"/>
        <v>19203.8</v>
      </c>
      <c r="Q91" s="13">
        <f t="shared" si="12"/>
        <v>13906.2</v>
      </c>
      <c r="R91" s="10">
        <f t="shared" si="13"/>
        <v>0.42</v>
      </c>
      <c r="S91" t="str">
        <f t="shared" si="14"/>
        <v>Apr-2026</v>
      </c>
      <c r="T91" t="str">
        <f t="shared" si="15"/>
        <v>OK</v>
      </c>
    </row>
    <row r="92" spans="1:20">
      <c r="A92" t="str">
        <f>TRIM(Raw_Data!A92)</f>
        <v>ORD-10091</v>
      </c>
      <c r="B92" s="12" t="str">
        <f>IFERROR(IF(ISNUMBER(Raw_Data!B92),Raw_Data!B92,DATEVALUE(Raw_Data!B92)),"")</f>
        <v/>
      </c>
      <c r="C92" t="str">
        <f>PROPER(TRIM(Raw_Data!C92))</f>
        <v>Arjun</v>
      </c>
      <c r="D92" t="str">
        <f>IF(TRIM(Raw_Data!D92)="Bangalore","Bengaluru",IF(TRIM(Raw_Data!D92)="Mysore","Mysuru",IF(TRIM(Raw_Data!D92)="Cochin","Kochi",PROPER(TRIM(Raw_Data!D92)))))</f>
        <v>Mysuru</v>
      </c>
      <c r="E92" t="str">
        <f>PROPER(TRIM(Raw_Data!E92))</f>
        <v>Corporate</v>
      </c>
      <c r="F92" t="str">
        <f>PROPER(TRIM(Raw_Data!F92))</f>
        <v>Consumer</v>
      </c>
      <c r="G92" t="str">
        <f>PROPER(TRIM(Raw_Data!G92))</f>
        <v>Keyboard</v>
      </c>
      <c r="H92" t="str">
        <f>PROPER(TRIM(Raw_Data!H92))</f>
        <v>Keyboard Mechanical</v>
      </c>
      <c r="I92">
        <f>IFERROR(MAX(0,VALUE(Raw_Data!I92)),0)</f>
        <v>7</v>
      </c>
      <c r="J92" s="13">
        <f>IFERROR(VALUE(Raw_Data!J92),0)</f>
        <v>2569</v>
      </c>
      <c r="K92" s="14">
        <f>IFERROR(VALUE(Raw_Data!K92),0)</f>
        <v>0.05</v>
      </c>
      <c r="L92" t="str">
        <f>PROPER(TRIM(Raw_Data!L92))</f>
        <v>Pending</v>
      </c>
      <c r="M92" s="13">
        <f t="shared" si="8"/>
        <v>17983</v>
      </c>
      <c r="N92" s="13">
        <f t="shared" si="9"/>
        <v>899.15</v>
      </c>
      <c r="O92" s="13">
        <f t="shared" si="10"/>
        <v>17083.85</v>
      </c>
      <c r="P92" s="13">
        <f t="shared" si="11"/>
        <v>10430.14</v>
      </c>
      <c r="Q92" s="13">
        <f t="shared" si="12"/>
        <v>6653.71</v>
      </c>
      <c r="R92" s="10">
        <f t="shared" si="13"/>
        <v>0.389473684210526</v>
      </c>
      <c r="S92" t="str">
        <f t="shared" si="14"/>
        <v/>
      </c>
      <c r="T92" t="str">
        <f t="shared" si="15"/>
        <v>CHECK</v>
      </c>
    </row>
    <row r="93" spans="1:20">
      <c r="A93" t="str">
        <f>TRIM(Raw_Data!A93)</f>
        <v>ORD-10092</v>
      </c>
      <c r="B93" s="12">
        <f>IFERROR(IF(ISNUMBER(Raw_Data!B93),Raw_Data!B93,DATEVALUE(Raw_Data!B93)),"")</f>
        <v>46133</v>
      </c>
      <c r="C93" t="str">
        <f>PROPER(TRIM(Raw_Data!C93))</f>
        <v>Neha</v>
      </c>
      <c r="D93" t="str">
        <f>IF(TRIM(Raw_Data!D93)="Bangalore","Bengaluru",IF(TRIM(Raw_Data!D93)="Mysore","Mysuru",IF(TRIM(Raw_Data!D93)="Cochin","Kochi",PROPER(TRIM(Raw_Data!D93)))))</f>
        <v>Mumbai</v>
      </c>
      <c r="E93" t="str">
        <f>PROPER(TRIM(Raw_Data!E93))</f>
        <v>Retail Store</v>
      </c>
      <c r="F93" t="str">
        <f>PROPER(TRIM(Raw_Data!F93))</f>
        <v>Enterprise</v>
      </c>
      <c r="G93" t="str">
        <f>PROPER(TRIM(Raw_Data!G93))</f>
        <v>Headset</v>
      </c>
      <c r="H93" t="str">
        <f>PROPER(TRIM(Raw_Data!H93))</f>
        <v>Headset Pro</v>
      </c>
      <c r="I93">
        <f>IFERROR(MAX(0,VALUE(Raw_Data!I93)),0)</f>
        <v>7</v>
      </c>
      <c r="J93" s="13">
        <f>IFERROR(VALUE(Raw_Data!J93),0)</f>
        <v>2955</v>
      </c>
      <c r="K93" s="14">
        <f>IFERROR(VALUE(Raw_Data!K93),0)</f>
        <v>0.05</v>
      </c>
      <c r="L93" t="str">
        <f>PROPER(TRIM(Raw_Data!L93))</f>
        <v>Delivered</v>
      </c>
      <c r="M93" s="13">
        <f t="shared" si="8"/>
        <v>20685</v>
      </c>
      <c r="N93" s="13">
        <f t="shared" si="9"/>
        <v>1034.25</v>
      </c>
      <c r="O93" s="13">
        <f t="shared" si="10"/>
        <v>19650.75</v>
      </c>
      <c r="P93" s="13">
        <f t="shared" si="11"/>
        <v>12411</v>
      </c>
      <c r="Q93" s="13">
        <f t="shared" si="12"/>
        <v>7239.75</v>
      </c>
      <c r="R93" s="10">
        <f t="shared" si="13"/>
        <v>0.368421052631579</v>
      </c>
      <c r="S93" t="str">
        <f t="shared" si="14"/>
        <v>Apr-2026</v>
      </c>
      <c r="T93" t="str">
        <f t="shared" si="15"/>
        <v>OK</v>
      </c>
    </row>
    <row r="94" spans="1:20">
      <c r="A94" t="str">
        <f>TRIM(Raw_Data!A94)</f>
        <v>ORD-10093</v>
      </c>
      <c r="B94" s="12">
        <f>IFERROR(IF(ISNUMBER(Raw_Data!B94),Raw_Data!B94,DATEVALUE(Raw_Data!B94)),"")</f>
        <v>46135</v>
      </c>
      <c r="C94" t="str">
        <f>PROPER(TRIM(Raw_Data!C94))</f>
        <v>Kiran</v>
      </c>
      <c r="D94" t="str">
        <f>IF(TRIM(Raw_Data!D94)="Bangalore","Bengaluru",IF(TRIM(Raw_Data!D94)="Mysore","Mysuru",IF(TRIM(Raw_Data!D94)="Cochin","Kochi",PROPER(TRIM(Raw_Data!D94)))))</f>
        <v>Chennai</v>
      </c>
      <c r="E94" t="str">
        <f>PROPER(TRIM(Raw_Data!E94))</f>
        <v>Corporate</v>
      </c>
      <c r="F94" t="str">
        <f>PROPER(TRIM(Raw_Data!F94))</f>
        <v>Enterprise</v>
      </c>
      <c r="G94" t="str">
        <f>PROPER(TRIM(Raw_Data!G94))</f>
        <v>Keyboard</v>
      </c>
      <c r="H94" t="str">
        <f>PROPER(TRIM(Raw_Data!H94))</f>
        <v>Keyboard Office</v>
      </c>
      <c r="I94">
        <f>IFERROR(MAX(0,VALUE(Raw_Data!I94)),0)</f>
        <v>4</v>
      </c>
      <c r="J94" s="13">
        <f>IFERROR(VALUE(Raw_Data!J94),0)</f>
        <v>2340</v>
      </c>
      <c r="K94" s="14">
        <f>IFERROR(VALUE(Raw_Data!K94),0)</f>
        <v>0.05</v>
      </c>
      <c r="L94" t="str">
        <f>PROPER(TRIM(Raw_Data!L94))</f>
        <v>Returned</v>
      </c>
      <c r="M94" s="13">
        <f t="shared" si="8"/>
        <v>9360</v>
      </c>
      <c r="N94" s="13">
        <f t="shared" si="9"/>
        <v>468</v>
      </c>
      <c r="O94" s="13">
        <f t="shared" si="10"/>
        <v>8892</v>
      </c>
      <c r="P94" s="13">
        <f t="shared" si="11"/>
        <v>5428.8</v>
      </c>
      <c r="Q94" s="13">
        <f t="shared" si="12"/>
        <v>3463.2</v>
      </c>
      <c r="R94" s="10">
        <f t="shared" si="13"/>
        <v>0.389473684210526</v>
      </c>
      <c r="S94" t="str">
        <f t="shared" si="14"/>
        <v>Apr-2026</v>
      </c>
      <c r="T94" t="str">
        <f t="shared" si="15"/>
        <v>OK</v>
      </c>
    </row>
    <row r="95" spans="1:20">
      <c r="A95" t="str">
        <f>TRIM(Raw_Data!A95)</f>
        <v>ORD-10094</v>
      </c>
      <c r="B95" s="12">
        <f>IFERROR(IF(ISNUMBER(Raw_Data!B95),Raw_Data!B95,DATEVALUE(Raw_Data!B95)),"")</f>
        <v>46219</v>
      </c>
      <c r="C95" t="str">
        <f>PROPER(TRIM(Raw_Data!C95))</f>
        <v>Meghana</v>
      </c>
      <c r="D95" t="str">
        <f>IF(TRIM(Raw_Data!D95)="Bangalore","Bengaluru",IF(TRIM(Raw_Data!D95)="Mysore","Mysuru",IF(TRIM(Raw_Data!D95)="Cochin","Kochi",PROPER(TRIM(Raw_Data!D95)))))</f>
        <v>Delhi</v>
      </c>
      <c r="E95" t="str">
        <f>PROPER(TRIM(Raw_Data!E95))</f>
        <v>Corporate</v>
      </c>
      <c r="F95" t="str">
        <f>PROPER(TRIM(Raw_Data!F95))</f>
        <v>Consumer</v>
      </c>
      <c r="G95" t="str">
        <f>PROPER(TRIM(Raw_Data!G95))</f>
        <v>Monitor</v>
      </c>
      <c r="H95" t="str">
        <f>PROPER(TRIM(Raw_Data!H95))</f>
        <v>Monitor 32</v>
      </c>
      <c r="I95">
        <f>IFERROR(MAX(0,VALUE(Raw_Data!I95)),0)</f>
        <v>2</v>
      </c>
      <c r="J95" s="13">
        <f>IFERROR(VALUE(Raw_Data!J95),0)</f>
        <v>10451</v>
      </c>
      <c r="K95" s="14">
        <f>IFERROR(VALUE(Raw_Data!K95),0)</f>
        <v>0</v>
      </c>
      <c r="L95" t="str">
        <f>PROPER(TRIM(Raw_Data!L95))</f>
        <v>Delivered</v>
      </c>
      <c r="M95" s="13">
        <f t="shared" si="8"/>
        <v>20902</v>
      </c>
      <c r="N95" s="13">
        <f t="shared" si="9"/>
        <v>0</v>
      </c>
      <c r="O95" s="13">
        <f t="shared" si="10"/>
        <v>20902</v>
      </c>
      <c r="P95" s="13">
        <f t="shared" si="11"/>
        <v>14631.4</v>
      </c>
      <c r="Q95" s="13">
        <f t="shared" si="12"/>
        <v>6270.6</v>
      </c>
      <c r="R95" s="10">
        <f t="shared" si="13"/>
        <v>0.3</v>
      </c>
      <c r="S95" t="str">
        <f t="shared" si="14"/>
        <v>Jul-2026</v>
      </c>
      <c r="T95" t="str">
        <f t="shared" si="15"/>
        <v>OK</v>
      </c>
    </row>
    <row r="96" spans="1:20">
      <c r="A96" t="str">
        <f>TRIM(Raw_Data!A96)</f>
        <v>ORD-10095</v>
      </c>
      <c r="B96" s="12">
        <f>IFERROR(IF(ISNUMBER(Raw_Data!B96),Raw_Data!B96,DATEVALUE(Raw_Data!B96)),"")</f>
        <v>46110</v>
      </c>
      <c r="C96" t="str">
        <f>PROPER(TRIM(Raw_Data!C96))</f>
        <v>Ravi</v>
      </c>
      <c r="D96" t="str">
        <f>IF(TRIM(Raw_Data!D96)="Bangalore","Bengaluru",IF(TRIM(Raw_Data!D96)="Mysore","Mysuru",IF(TRIM(Raw_Data!D96)="Cochin","Kochi",PROPER(TRIM(Raw_Data!D96)))))</f>
        <v>Mysuru</v>
      </c>
      <c r="E96" t="str">
        <f>PROPER(TRIM(Raw_Data!E96))</f>
        <v>Online</v>
      </c>
      <c r="F96" t="str">
        <f>PROPER(TRIM(Raw_Data!F96))</f>
        <v>Smb</v>
      </c>
      <c r="G96" t="str">
        <f>PROPER(TRIM(Raw_Data!G96))</f>
        <v>Mouse</v>
      </c>
      <c r="H96" t="str">
        <f>PROPER(TRIM(Raw_Data!H96))</f>
        <v>Mouse Wireless</v>
      </c>
      <c r="I96">
        <f>IFERROR(MAX(0,VALUE(Raw_Data!I96)),0)</f>
        <v>8</v>
      </c>
      <c r="J96" s="13">
        <f>IFERROR(VALUE(Raw_Data!J96),0)</f>
        <v>2494</v>
      </c>
      <c r="K96" s="14">
        <f>IFERROR(VALUE(Raw_Data!K96),0)</f>
        <v>0.05</v>
      </c>
      <c r="L96" t="str">
        <f>PROPER(TRIM(Raw_Data!L96))</f>
        <v>Delivered</v>
      </c>
      <c r="M96" s="13">
        <f t="shared" si="8"/>
        <v>19952</v>
      </c>
      <c r="N96" s="13">
        <f t="shared" si="9"/>
        <v>997.6</v>
      </c>
      <c r="O96" s="13">
        <f t="shared" si="10"/>
        <v>18954.4</v>
      </c>
      <c r="P96" s="13">
        <f t="shared" si="11"/>
        <v>10973.6</v>
      </c>
      <c r="Q96" s="13">
        <f t="shared" si="12"/>
        <v>7980.8</v>
      </c>
      <c r="R96" s="10">
        <f t="shared" si="13"/>
        <v>0.421052631578947</v>
      </c>
      <c r="S96" t="str">
        <f t="shared" si="14"/>
        <v>Mar-2026</v>
      </c>
      <c r="T96" t="str">
        <f t="shared" si="15"/>
        <v>OK</v>
      </c>
    </row>
    <row r="97" spans="1:20">
      <c r="A97" t="str">
        <f>TRIM(Raw_Data!A97)</f>
        <v>ORD-10096</v>
      </c>
      <c r="B97" s="12">
        <f>IFERROR(IF(ISNUMBER(Raw_Data!B97),Raw_Data!B97,DATEVALUE(Raw_Data!B97)),"")</f>
        <v>46070</v>
      </c>
      <c r="C97" t="str">
        <f>PROPER(TRIM(Raw_Data!C97))</f>
        <v>Ravi</v>
      </c>
      <c r="D97" t="str">
        <f>IF(TRIM(Raw_Data!D97)="Bangalore","Bengaluru",IF(TRIM(Raw_Data!D97)="Mysore","Mysuru",IF(TRIM(Raw_Data!D97)="Cochin","Kochi",PROPER(TRIM(Raw_Data!D97)))))</f>
        <v>Bengaluru</v>
      </c>
      <c r="E97" t="str">
        <f>PROPER(TRIM(Raw_Data!E97))</f>
        <v>Corporate</v>
      </c>
      <c r="F97" t="str">
        <f>PROPER(TRIM(Raw_Data!F97))</f>
        <v>Enterprise</v>
      </c>
      <c r="G97" t="str">
        <f>PROPER(TRIM(Raw_Data!G97))</f>
        <v>Mouse</v>
      </c>
      <c r="H97" t="str">
        <f>PROPER(TRIM(Raw_Data!H97))</f>
        <v>Mouse Ergonomic</v>
      </c>
      <c r="I97">
        <f>IFERROR(MAX(0,VALUE(Raw_Data!I97)),0)</f>
        <v>4</v>
      </c>
      <c r="J97" s="13">
        <f>IFERROR(VALUE(Raw_Data!J97),0)</f>
        <v>2292</v>
      </c>
      <c r="K97" s="14">
        <f>IFERROR(VALUE(Raw_Data!K97),0)</f>
        <v>0.02</v>
      </c>
      <c r="L97" t="str">
        <f>PROPER(TRIM(Raw_Data!L97))</f>
        <v>Delivered</v>
      </c>
      <c r="M97" s="13">
        <f t="shared" si="8"/>
        <v>9168</v>
      </c>
      <c r="N97" s="13">
        <f t="shared" si="9"/>
        <v>183.36</v>
      </c>
      <c r="O97" s="13">
        <f t="shared" si="10"/>
        <v>8984.64</v>
      </c>
      <c r="P97" s="13">
        <f t="shared" si="11"/>
        <v>5042.4</v>
      </c>
      <c r="Q97" s="13">
        <f t="shared" si="12"/>
        <v>3942.24</v>
      </c>
      <c r="R97" s="10">
        <f t="shared" si="13"/>
        <v>0.438775510204082</v>
      </c>
      <c r="S97" t="str">
        <f t="shared" si="14"/>
        <v>Feb-2026</v>
      </c>
      <c r="T97" t="str">
        <f t="shared" si="15"/>
        <v>OK</v>
      </c>
    </row>
    <row r="98" spans="1:20">
      <c r="A98" t="str">
        <f>TRIM(Raw_Data!A98)</f>
        <v>ORD-10097</v>
      </c>
      <c r="B98" s="12">
        <f>IFERROR(IF(ISNUMBER(Raw_Data!B98),Raw_Data!B98,DATEVALUE(Raw_Data!B98)),"")</f>
        <v>46112</v>
      </c>
      <c r="C98" t="str">
        <f>PROPER(TRIM(Raw_Data!C98))</f>
        <v>Priya</v>
      </c>
      <c r="D98" t="str">
        <f>IF(TRIM(Raw_Data!D98)="Bangalore","Bengaluru",IF(TRIM(Raw_Data!D98)="Mysore","Mysuru",IF(TRIM(Raw_Data!D98)="Cochin","Kochi",PROPER(TRIM(Raw_Data!D98)))))</f>
        <v>Hyderabad</v>
      </c>
      <c r="E98" t="str">
        <f>PROPER(TRIM(Raw_Data!E98))</f>
        <v>Online</v>
      </c>
      <c r="F98" t="str">
        <f>PROPER(TRIM(Raw_Data!F98))</f>
        <v>Enterprise</v>
      </c>
      <c r="G98" t="str">
        <f>PROPER(TRIM(Raw_Data!G98))</f>
        <v>Keyboard</v>
      </c>
      <c r="H98" t="str">
        <f>PROPER(TRIM(Raw_Data!H98))</f>
        <v>Keyboard Mechanical</v>
      </c>
      <c r="I98">
        <f>IFERROR(MAX(0,VALUE(Raw_Data!I98)),0)</f>
        <v>4</v>
      </c>
      <c r="J98" s="13">
        <f>IFERROR(VALUE(Raw_Data!J98),0)</f>
        <v>2297</v>
      </c>
      <c r="K98" s="14">
        <f>IFERROR(VALUE(Raw_Data!K98),0)</f>
        <v>0.05</v>
      </c>
      <c r="L98" t="str">
        <f>PROPER(TRIM(Raw_Data!L98))</f>
        <v>Delivered</v>
      </c>
      <c r="M98" s="13">
        <f t="shared" si="8"/>
        <v>9188</v>
      </c>
      <c r="N98" s="13">
        <f t="shared" si="9"/>
        <v>459.4</v>
      </c>
      <c r="O98" s="13">
        <f t="shared" si="10"/>
        <v>8728.6</v>
      </c>
      <c r="P98" s="13">
        <f t="shared" si="11"/>
        <v>5329.04</v>
      </c>
      <c r="Q98" s="13">
        <f t="shared" si="12"/>
        <v>3399.56</v>
      </c>
      <c r="R98" s="10">
        <f t="shared" si="13"/>
        <v>0.389473684210526</v>
      </c>
      <c r="S98" t="str">
        <f t="shared" si="14"/>
        <v>Mar-2026</v>
      </c>
      <c r="T98" t="str">
        <f t="shared" si="15"/>
        <v>OK</v>
      </c>
    </row>
    <row r="99" spans="1:20">
      <c r="A99" t="str">
        <f>TRIM(Raw_Data!A99)</f>
        <v>ORD-10098</v>
      </c>
      <c r="B99" s="12">
        <f>IFERROR(IF(ISNUMBER(Raw_Data!B99),Raw_Data!B99,DATEVALUE(Raw_Data!B99)),"")</f>
        <v>46025</v>
      </c>
      <c r="C99" t="str">
        <f>PROPER(TRIM(Raw_Data!C99))</f>
        <v>Neha</v>
      </c>
      <c r="D99" t="str">
        <f>IF(TRIM(Raw_Data!D99)="Bangalore","Bengaluru",IF(TRIM(Raw_Data!D99)="Mysore","Mysuru",IF(TRIM(Raw_Data!D99)="Cochin","Kochi",PROPER(TRIM(Raw_Data!D99)))))</f>
        <v>Pune</v>
      </c>
      <c r="E99" t="str">
        <f>PROPER(TRIM(Raw_Data!E99))</f>
        <v>Online</v>
      </c>
      <c r="F99" t="str">
        <f>PROPER(TRIM(Raw_Data!F99))</f>
        <v>Smb</v>
      </c>
      <c r="G99" t="str">
        <f>PROPER(TRIM(Raw_Data!G99))</f>
        <v>Mouse</v>
      </c>
      <c r="H99" t="str">
        <f>PROPER(TRIM(Raw_Data!H99))</f>
        <v>Mouse Wireless</v>
      </c>
      <c r="I99">
        <f>IFERROR(MAX(0,VALUE(Raw_Data!I99)),0)</f>
        <v>7</v>
      </c>
      <c r="J99" s="13">
        <f>IFERROR(VALUE(Raw_Data!J99),0)</f>
        <v>3374</v>
      </c>
      <c r="K99" s="14">
        <f>IFERROR(VALUE(Raw_Data!K99),0)</f>
        <v>0.15</v>
      </c>
      <c r="L99" t="str">
        <f>PROPER(TRIM(Raw_Data!L99))</f>
        <v>Pending</v>
      </c>
      <c r="M99" s="13">
        <f t="shared" si="8"/>
        <v>23618</v>
      </c>
      <c r="N99" s="13">
        <f t="shared" si="9"/>
        <v>3542.7</v>
      </c>
      <c r="O99" s="13">
        <f t="shared" si="10"/>
        <v>20075.3</v>
      </c>
      <c r="P99" s="13">
        <f t="shared" si="11"/>
        <v>12989.9</v>
      </c>
      <c r="Q99" s="13">
        <f t="shared" si="12"/>
        <v>7085.4</v>
      </c>
      <c r="R99" s="10">
        <f t="shared" si="13"/>
        <v>0.352941176470588</v>
      </c>
      <c r="S99" t="str">
        <f t="shared" si="14"/>
        <v>Jan-2026</v>
      </c>
      <c r="T99" t="str">
        <f t="shared" si="15"/>
        <v>OK</v>
      </c>
    </row>
    <row r="100" spans="1:20">
      <c r="A100" t="str">
        <f>TRIM(Raw_Data!A100)</f>
        <v>ORD-10099</v>
      </c>
      <c r="B100" s="12">
        <f>IFERROR(IF(ISNUMBER(Raw_Data!B100),Raw_Data!B100,DATEVALUE(Raw_Data!B100)),"")</f>
        <v>46169</v>
      </c>
      <c r="C100" t="str">
        <f>PROPER(TRIM(Raw_Data!C100))</f>
        <v>Meghana</v>
      </c>
      <c r="D100" t="str">
        <f>IF(TRIM(Raw_Data!D100)="Bangalore","Bengaluru",IF(TRIM(Raw_Data!D100)="Mysore","Mysuru",IF(TRIM(Raw_Data!D100)="Cochin","Kochi",PROPER(TRIM(Raw_Data!D100)))))</f>
        <v>Delhi</v>
      </c>
      <c r="E100" t="str">
        <f>PROPER(TRIM(Raw_Data!E100))</f>
        <v>Retail Store</v>
      </c>
      <c r="F100" t="str">
        <f>PROPER(TRIM(Raw_Data!F100))</f>
        <v>Smb</v>
      </c>
      <c r="G100" t="str">
        <f>PROPER(TRIM(Raw_Data!G100))</f>
        <v>Laptop</v>
      </c>
      <c r="H100" t="str">
        <f>PROPER(TRIM(Raw_Data!H100))</f>
        <v>Laptop Air 13</v>
      </c>
      <c r="I100">
        <f>IFERROR(MAX(0,VALUE(Raw_Data!I100)),0)</f>
        <v>7</v>
      </c>
      <c r="J100" s="13">
        <f>IFERROR(VALUE(Raw_Data!J100),0)</f>
        <v>80523</v>
      </c>
      <c r="K100" s="14">
        <f>IFERROR(VALUE(Raw_Data!K100),0)</f>
        <v>0</v>
      </c>
      <c r="L100" t="str">
        <f>PROPER(TRIM(Raw_Data!L100))</f>
        <v>Returned</v>
      </c>
      <c r="M100" s="13">
        <f t="shared" si="8"/>
        <v>563661</v>
      </c>
      <c r="N100" s="13">
        <f t="shared" si="9"/>
        <v>0</v>
      </c>
      <c r="O100" s="13">
        <f t="shared" si="10"/>
        <v>563661</v>
      </c>
      <c r="P100" s="13">
        <f t="shared" si="11"/>
        <v>439655.58</v>
      </c>
      <c r="Q100" s="13">
        <f t="shared" si="12"/>
        <v>124005.42</v>
      </c>
      <c r="R100" s="10">
        <f t="shared" si="13"/>
        <v>0.22</v>
      </c>
      <c r="S100" t="str">
        <f t="shared" si="14"/>
        <v>May-2026</v>
      </c>
      <c r="T100" t="str">
        <f t="shared" si="15"/>
        <v>OK</v>
      </c>
    </row>
    <row r="101" spans="1:20">
      <c r="A101" t="str">
        <f>TRIM(Raw_Data!A101)</f>
        <v>ORD-10100</v>
      </c>
      <c r="B101" s="12">
        <f>IFERROR(IF(ISNUMBER(Raw_Data!B101),Raw_Data!B101,DATEVALUE(Raw_Data!B101)),"")</f>
        <v>46065</v>
      </c>
      <c r="C101" t="str">
        <f>PROPER(TRIM(Raw_Data!C101))</f>
        <v>Bhoomika</v>
      </c>
      <c r="D101" t="str">
        <f>IF(TRIM(Raw_Data!D101)="Bangalore","Bengaluru",IF(TRIM(Raw_Data!D101)="Mysore","Mysuru",IF(TRIM(Raw_Data!D101)="Cochin","Kochi",PROPER(TRIM(Raw_Data!D101)))))</f>
        <v>Pune</v>
      </c>
      <c r="E101" t="str">
        <f>PROPER(TRIM(Raw_Data!E101))</f>
        <v>Corporate</v>
      </c>
      <c r="F101" t="str">
        <f>PROPER(TRIM(Raw_Data!F101))</f>
        <v>Smb</v>
      </c>
      <c r="G101" t="str">
        <f>PROPER(TRIM(Raw_Data!G101))</f>
        <v>Headset</v>
      </c>
      <c r="H101" t="str">
        <f>PROPER(TRIM(Raw_Data!H101))</f>
        <v>Headset Pro</v>
      </c>
      <c r="I101">
        <f>IFERROR(MAX(0,VALUE(Raw_Data!I101)),0)</f>
        <v>3</v>
      </c>
      <c r="J101" s="13">
        <f>IFERROR(VALUE(Raw_Data!J101),0)</f>
        <v>3802</v>
      </c>
      <c r="K101" s="14">
        <f>IFERROR(VALUE(Raw_Data!K101),0)</f>
        <v>0.05</v>
      </c>
      <c r="L101" t="str">
        <f>PROPER(TRIM(Raw_Data!L101))</f>
        <v>Returned</v>
      </c>
      <c r="M101" s="13">
        <f t="shared" si="8"/>
        <v>11406</v>
      </c>
      <c r="N101" s="13">
        <f t="shared" si="9"/>
        <v>570.3</v>
      </c>
      <c r="O101" s="13">
        <f t="shared" si="10"/>
        <v>10835.7</v>
      </c>
      <c r="P101" s="13">
        <f t="shared" si="11"/>
        <v>6843.6</v>
      </c>
      <c r="Q101" s="13">
        <f t="shared" si="12"/>
        <v>3992.1</v>
      </c>
      <c r="R101" s="10">
        <f t="shared" si="13"/>
        <v>0.368421052631579</v>
      </c>
      <c r="S101" t="str">
        <f t="shared" si="14"/>
        <v>Feb-2026</v>
      </c>
      <c r="T101" t="str">
        <f t="shared" si="15"/>
        <v>OK</v>
      </c>
    </row>
    <row r="102" spans="1:20">
      <c r="A102" t="str">
        <f>TRIM(Raw_Data!A102)</f>
        <v>ORD-10101</v>
      </c>
      <c r="B102" s="12" t="str">
        <f>IFERROR(IF(ISNUMBER(Raw_Data!B102),Raw_Data!B102,DATEVALUE(Raw_Data!B102)),"")</f>
        <v/>
      </c>
      <c r="C102" t="str">
        <f>PROPER(TRIM(Raw_Data!C102))</f>
        <v>Ravi</v>
      </c>
      <c r="D102" t="str">
        <f>IF(TRIM(Raw_Data!D102)="Bangalore","Bengaluru",IF(TRIM(Raw_Data!D102)="Mysore","Mysuru",IF(TRIM(Raw_Data!D102)="Cochin","Kochi",PROPER(TRIM(Raw_Data!D102)))))</f>
        <v>Kochi</v>
      </c>
      <c r="E102" t="str">
        <f>PROPER(TRIM(Raw_Data!E102))</f>
        <v>Corporate</v>
      </c>
      <c r="F102" t="str">
        <f>PROPER(TRIM(Raw_Data!F102))</f>
        <v>Enterprise</v>
      </c>
      <c r="G102" t="str">
        <f>PROPER(TRIM(Raw_Data!G102))</f>
        <v>Monitor</v>
      </c>
      <c r="H102" t="str">
        <f>PROPER(TRIM(Raw_Data!H102))</f>
        <v>Monitor 32</v>
      </c>
      <c r="I102">
        <f>IFERROR(MAX(0,VALUE(Raw_Data!I102)),0)</f>
        <v>7</v>
      </c>
      <c r="J102" s="13">
        <f>IFERROR(VALUE(Raw_Data!J102),0)</f>
        <v>13658</v>
      </c>
      <c r="K102" s="14">
        <f>IFERROR(VALUE(Raw_Data!K102),0)</f>
        <v>0.08</v>
      </c>
      <c r="L102" t="str">
        <f>PROPER(TRIM(Raw_Data!L102))</f>
        <v>Delivered</v>
      </c>
      <c r="M102" s="13">
        <f t="shared" si="8"/>
        <v>95606</v>
      </c>
      <c r="N102" s="13">
        <f t="shared" si="9"/>
        <v>7648.48</v>
      </c>
      <c r="O102" s="13">
        <f t="shared" si="10"/>
        <v>87957.52</v>
      </c>
      <c r="P102" s="13">
        <f t="shared" si="11"/>
        <v>66924.2</v>
      </c>
      <c r="Q102" s="13">
        <f t="shared" si="12"/>
        <v>21033.32</v>
      </c>
      <c r="R102" s="10">
        <f t="shared" si="13"/>
        <v>0.239130434782609</v>
      </c>
      <c r="S102" t="str">
        <f t="shared" si="14"/>
        <v/>
      </c>
      <c r="T102" t="str">
        <f t="shared" si="15"/>
        <v>CHECK</v>
      </c>
    </row>
    <row r="103" spans="1:20">
      <c r="A103" t="str">
        <f>TRIM(Raw_Data!A103)</f>
        <v>ORD-10102</v>
      </c>
      <c r="B103" s="12">
        <f>IFERROR(IF(ISNUMBER(Raw_Data!B103),Raw_Data!B103,DATEVALUE(Raw_Data!B103)),"")</f>
        <v>46114</v>
      </c>
      <c r="C103" t="str">
        <f>PROPER(TRIM(Raw_Data!C103))</f>
        <v>Priya</v>
      </c>
      <c r="D103" t="str">
        <f>IF(TRIM(Raw_Data!D103)="Bangalore","Bengaluru",IF(TRIM(Raw_Data!D103)="Mysore","Mysuru",IF(TRIM(Raw_Data!D103)="Cochin","Kochi",PROPER(TRIM(Raw_Data!D103)))))</f>
        <v>Kochi</v>
      </c>
      <c r="E103" t="str">
        <f>PROPER(TRIM(Raw_Data!E103))</f>
        <v>Retail Store</v>
      </c>
      <c r="F103" t="str">
        <f>PROPER(TRIM(Raw_Data!F103))</f>
        <v>Smb</v>
      </c>
      <c r="G103" t="str">
        <f>PROPER(TRIM(Raw_Data!G103))</f>
        <v>Laptop</v>
      </c>
      <c r="H103" t="str">
        <f>PROPER(TRIM(Raw_Data!H103))</f>
        <v>Business Laptop 15</v>
      </c>
      <c r="I103">
        <f>IFERROR(MAX(0,VALUE(Raw_Data!I103)),0)</f>
        <v>6</v>
      </c>
      <c r="J103" s="13">
        <f>IFERROR(VALUE(Raw_Data!J103),0)</f>
        <v>59275</v>
      </c>
      <c r="K103" s="14">
        <f>IFERROR(VALUE(Raw_Data!K103),0)</f>
        <v>0.05</v>
      </c>
      <c r="L103" t="str">
        <f>PROPER(TRIM(Raw_Data!L103))</f>
        <v>Delivered</v>
      </c>
      <c r="M103" s="13">
        <f t="shared" si="8"/>
        <v>355650</v>
      </c>
      <c r="N103" s="13">
        <f t="shared" si="9"/>
        <v>17782.5</v>
      </c>
      <c r="O103" s="13">
        <f t="shared" si="10"/>
        <v>337867.5</v>
      </c>
      <c r="P103" s="13">
        <f t="shared" si="11"/>
        <v>277407</v>
      </c>
      <c r="Q103" s="13">
        <f t="shared" si="12"/>
        <v>60460.5</v>
      </c>
      <c r="R103" s="10">
        <f t="shared" si="13"/>
        <v>0.178947368421053</v>
      </c>
      <c r="S103" t="str">
        <f t="shared" si="14"/>
        <v>Apr-2026</v>
      </c>
      <c r="T103" t="str">
        <f t="shared" si="15"/>
        <v>OK</v>
      </c>
    </row>
    <row r="104" spans="1:20">
      <c r="A104" t="str">
        <f>TRIM(Raw_Data!A104)</f>
        <v>ORD-10103</v>
      </c>
      <c r="B104" s="12" t="str">
        <f>IFERROR(IF(ISNUMBER(Raw_Data!B104),Raw_Data!B104,DATEVALUE(Raw_Data!B104)),"")</f>
        <v/>
      </c>
      <c r="C104" t="str">
        <f>PROPER(TRIM(Raw_Data!C104))</f>
        <v>Priya</v>
      </c>
      <c r="D104" t="str">
        <f>IF(TRIM(Raw_Data!D104)="Bangalore","Bengaluru",IF(TRIM(Raw_Data!D104)="Mysore","Mysuru",IF(TRIM(Raw_Data!D104)="Cochin","Kochi",PROPER(TRIM(Raw_Data!D104)))))</f>
        <v>Mumbai</v>
      </c>
      <c r="E104" t="str">
        <f>PROPER(TRIM(Raw_Data!E104))</f>
        <v>Corporate</v>
      </c>
      <c r="F104" t="str">
        <f>PROPER(TRIM(Raw_Data!F104))</f>
        <v>Smb</v>
      </c>
      <c r="G104" t="str">
        <f>PROPER(TRIM(Raw_Data!G104))</f>
        <v>Monitor</v>
      </c>
      <c r="H104" t="str">
        <f>PROPER(TRIM(Raw_Data!H104))</f>
        <v>Monitor 32</v>
      </c>
      <c r="I104">
        <f>IFERROR(MAX(0,VALUE(Raw_Data!I104)),0)</f>
        <v>5</v>
      </c>
      <c r="J104" s="13">
        <f>IFERROR(VALUE(Raw_Data!J104),0)</f>
        <v>17979</v>
      </c>
      <c r="K104" s="14">
        <f>IFERROR(VALUE(Raw_Data!K104),0)</f>
        <v>0</v>
      </c>
      <c r="L104" t="str">
        <f>PROPER(TRIM(Raw_Data!L104))</f>
        <v>Delivered</v>
      </c>
      <c r="M104" s="13">
        <f t="shared" si="8"/>
        <v>89895</v>
      </c>
      <c r="N104" s="13">
        <f t="shared" si="9"/>
        <v>0</v>
      </c>
      <c r="O104" s="13">
        <f t="shared" si="10"/>
        <v>89895</v>
      </c>
      <c r="P104" s="13">
        <f t="shared" si="11"/>
        <v>62926.5</v>
      </c>
      <c r="Q104" s="13">
        <f t="shared" si="12"/>
        <v>26968.5</v>
      </c>
      <c r="R104" s="10">
        <f t="shared" si="13"/>
        <v>0.3</v>
      </c>
      <c r="S104" t="str">
        <f t="shared" si="14"/>
        <v/>
      </c>
      <c r="T104" t="str">
        <f t="shared" si="15"/>
        <v>CHECK</v>
      </c>
    </row>
    <row r="105" spans="1:20">
      <c r="A105" t="str">
        <f>TRIM(Raw_Data!A105)</f>
        <v>ORD-10104</v>
      </c>
      <c r="B105" s="12">
        <f>IFERROR(IF(ISNUMBER(Raw_Data!B105),Raw_Data!B105,DATEVALUE(Raw_Data!B105)),"")</f>
        <v>46201</v>
      </c>
      <c r="C105" t="str">
        <f>PROPER(TRIM(Raw_Data!C105))</f>
        <v>Arjun</v>
      </c>
      <c r="D105" t="str">
        <f>IF(TRIM(Raw_Data!D105)="Bangalore","Bengaluru",IF(TRIM(Raw_Data!D105)="Mysore","Mysuru",IF(TRIM(Raw_Data!D105)="Cochin","Kochi",PROPER(TRIM(Raw_Data!D105)))))</f>
        <v>Kochi</v>
      </c>
      <c r="E105" t="str">
        <f>PROPER(TRIM(Raw_Data!E105))</f>
        <v>Online</v>
      </c>
      <c r="F105" t="str">
        <f>PROPER(TRIM(Raw_Data!F105))</f>
        <v>Consumer</v>
      </c>
      <c r="G105" t="str">
        <f>PROPER(TRIM(Raw_Data!G105))</f>
        <v>Keyboard</v>
      </c>
      <c r="H105" t="str">
        <f>PROPER(TRIM(Raw_Data!H105))</f>
        <v>Keyboard Wireless</v>
      </c>
      <c r="I105">
        <f>IFERROR(MAX(0,VALUE(Raw_Data!I105)),0)</f>
        <v>2</v>
      </c>
      <c r="J105" s="13">
        <f>IFERROR(VALUE(Raw_Data!J105),0)</f>
        <v>1780</v>
      </c>
      <c r="K105" s="14">
        <f>IFERROR(VALUE(Raw_Data!K105),0)</f>
        <v>0.15</v>
      </c>
      <c r="L105" t="str">
        <f>PROPER(TRIM(Raw_Data!L105))</f>
        <v>Delivered</v>
      </c>
      <c r="M105" s="13">
        <f t="shared" si="8"/>
        <v>3560</v>
      </c>
      <c r="N105" s="13">
        <f t="shared" si="9"/>
        <v>534</v>
      </c>
      <c r="O105" s="13">
        <f t="shared" si="10"/>
        <v>3026</v>
      </c>
      <c r="P105" s="13">
        <f t="shared" si="11"/>
        <v>2064.8</v>
      </c>
      <c r="Q105" s="13">
        <f t="shared" si="12"/>
        <v>961.2</v>
      </c>
      <c r="R105" s="10">
        <f t="shared" si="13"/>
        <v>0.31764705882353</v>
      </c>
      <c r="S105" t="str">
        <f t="shared" si="14"/>
        <v>Jun-2026</v>
      </c>
      <c r="T105" t="str">
        <f t="shared" si="15"/>
        <v>OK</v>
      </c>
    </row>
    <row r="106" spans="1:20">
      <c r="A106" t="str">
        <f>TRIM(Raw_Data!A106)</f>
        <v>ORD-10105</v>
      </c>
      <c r="B106" s="12">
        <f>IFERROR(IF(ISNUMBER(Raw_Data!B106),Raw_Data!B106,DATEVALUE(Raw_Data!B106)),"")</f>
        <v>46136</v>
      </c>
      <c r="C106" t="str">
        <f>PROPER(TRIM(Raw_Data!C106))</f>
        <v>Ravi</v>
      </c>
      <c r="D106" t="str">
        <f>IF(TRIM(Raw_Data!D106)="Bangalore","Bengaluru",IF(TRIM(Raw_Data!D106)="Mysore","Mysuru",IF(TRIM(Raw_Data!D106)="Cochin","Kochi",PROPER(TRIM(Raw_Data!D106)))))</f>
        <v>Chennai</v>
      </c>
      <c r="E106" t="str">
        <f>PROPER(TRIM(Raw_Data!E106))</f>
        <v>Corporate</v>
      </c>
      <c r="F106" t="str">
        <f>PROPER(TRIM(Raw_Data!F106))</f>
        <v>Consumer</v>
      </c>
      <c r="G106" t="str">
        <f>PROPER(TRIM(Raw_Data!G106))</f>
        <v>Monitor</v>
      </c>
      <c r="H106" t="str">
        <f>PROPER(TRIM(Raw_Data!H106))</f>
        <v>Monitor 24</v>
      </c>
      <c r="I106">
        <f>IFERROR(MAX(0,VALUE(Raw_Data!I106)),0)</f>
        <v>6</v>
      </c>
      <c r="J106" s="13">
        <f>IFERROR(VALUE(Raw_Data!J106),0)</f>
        <v>13035</v>
      </c>
      <c r="K106" s="14">
        <f>IFERROR(VALUE(Raw_Data!K106),0)</f>
        <v>0.02</v>
      </c>
      <c r="L106" t="str">
        <f>PROPER(TRIM(Raw_Data!L106))</f>
        <v>Delivered</v>
      </c>
      <c r="M106" s="13">
        <f t="shared" si="8"/>
        <v>78210</v>
      </c>
      <c r="N106" s="13">
        <f t="shared" si="9"/>
        <v>1564.2</v>
      </c>
      <c r="O106" s="13">
        <f t="shared" si="10"/>
        <v>76645.8</v>
      </c>
      <c r="P106" s="13">
        <f t="shared" si="11"/>
        <v>54747</v>
      </c>
      <c r="Q106" s="13">
        <f t="shared" si="12"/>
        <v>21898.8</v>
      </c>
      <c r="R106" s="10">
        <f t="shared" si="13"/>
        <v>0.285714285714286</v>
      </c>
      <c r="S106" t="str">
        <f t="shared" si="14"/>
        <v>Apr-2026</v>
      </c>
      <c r="T106" t="str">
        <f t="shared" si="15"/>
        <v>OK</v>
      </c>
    </row>
    <row r="107" spans="1:20">
      <c r="A107" t="str">
        <f>TRIM(Raw_Data!A107)</f>
        <v>ORD-10106</v>
      </c>
      <c r="B107" s="12">
        <f>IFERROR(IF(ISNUMBER(Raw_Data!B107),Raw_Data!B107,DATEVALUE(Raw_Data!B107)),"")</f>
        <v>46084</v>
      </c>
      <c r="C107" t="str">
        <f>PROPER(TRIM(Raw_Data!C107))</f>
        <v>Kiran</v>
      </c>
      <c r="D107" t="str">
        <f>IF(TRIM(Raw_Data!D107)="Bangalore","Bengaluru",IF(TRIM(Raw_Data!D107)="Mysore","Mysuru",IF(TRIM(Raw_Data!D107)="Cochin","Kochi",PROPER(TRIM(Raw_Data!D107)))))</f>
        <v>Chennai</v>
      </c>
      <c r="E107" t="str">
        <f>PROPER(TRIM(Raw_Data!E107))</f>
        <v>Retail Store</v>
      </c>
      <c r="F107" t="str">
        <f>PROPER(TRIM(Raw_Data!F107))</f>
        <v>Smb</v>
      </c>
      <c r="G107" t="str">
        <f>PROPER(TRIM(Raw_Data!G107))</f>
        <v>Mouse</v>
      </c>
      <c r="H107" t="str">
        <f>PROPER(TRIM(Raw_Data!H107))</f>
        <v>Mouse Ergonomic</v>
      </c>
      <c r="I107">
        <f>IFERROR(MAX(0,VALUE(Raw_Data!I107)),0)</f>
        <v>6</v>
      </c>
      <c r="J107" s="13">
        <f>IFERROR(VALUE(Raw_Data!J107),0)</f>
        <v>2863</v>
      </c>
      <c r="K107" s="14">
        <f>IFERROR(VALUE(Raw_Data!K107),0)</f>
        <v>0.05</v>
      </c>
      <c r="L107" t="str">
        <f>PROPER(TRIM(Raw_Data!L107))</f>
        <v>Delivered</v>
      </c>
      <c r="M107" s="13">
        <f t="shared" si="8"/>
        <v>17178</v>
      </c>
      <c r="N107" s="13">
        <f t="shared" si="9"/>
        <v>858.9</v>
      </c>
      <c r="O107" s="13">
        <f t="shared" si="10"/>
        <v>16319.1</v>
      </c>
      <c r="P107" s="13">
        <f t="shared" si="11"/>
        <v>9447.9</v>
      </c>
      <c r="Q107" s="13">
        <f t="shared" si="12"/>
        <v>6871.2</v>
      </c>
      <c r="R107" s="10">
        <f t="shared" si="13"/>
        <v>0.421052631578947</v>
      </c>
      <c r="S107" t="str">
        <f t="shared" si="14"/>
        <v>Mar-2026</v>
      </c>
      <c r="T107" t="str">
        <f t="shared" si="15"/>
        <v>OK</v>
      </c>
    </row>
    <row r="108" spans="1:20">
      <c r="A108" t="str">
        <f>TRIM(Raw_Data!A108)</f>
        <v>ORD-10107</v>
      </c>
      <c r="B108" s="12">
        <f>IFERROR(IF(ISNUMBER(Raw_Data!B108),Raw_Data!B108,DATEVALUE(Raw_Data!B108)),"")</f>
        <v>46219</v>
      </c>
      <c r="C108" t="str">
        <f>PROPER(TRIM(Raw_Data!C108))</f>
        <v>Priya</v>
      </c>
      <c r="D108" t="str">
        <f>IF(TRIM(Raw_Data!D108)="Bangalore","Bengaluru",IF(TRIM(Raw_Data!D108)="Mysore","Mysuru",IF(TRIM(Raw_Data!D108)="Cochin","Kochi",PROPER(TRIM(Raw_Data!D108)))))</f>
        <v>Kochi</v>
      </c>
      <c r="E108" t="str">
        <f>PROPER(TRIM(Raw_Data!E108))</f>
        <v>Corporate</v>
      </c>
      <c r="F108" t="str">
        <f>PROPER(TRIM(Raw_Data!F108))</f>
        <v>Consumer</v>
      </c>
      <c r="G108" t="str">
        <f>PROPER(TRIM(Raw_Data!G108))</f>
        <v>Mouse</v>
      </c>
      <c r="H108" t="str">
        <f>PROPER(TRIM(Raw_Data!H108))</f>
        <v>Mouse Ergonomic</v>
      </c>
      <c r="I108">
        <f>IFERROR(MAX(0,VALUE(Raw_Data!I108)),0)</f>
        <v>5</v>
      </c>
      <c r="J108" s="13">
        <f>IFERROR(VALUE(Raw_Data!J108),0)</f>
        <v>1836</v>
      </c>
      <c r="K108" s="14">
        <f>IFERROR(VALUE(Raw_Data!K108),0)</f>
        <v>0</v>
      </c>
      <c r="L108" t="str">
        <f>PROPER(TRIM(Raw_Data!L108))</f>
        <v>Cancelled</v>
      </c>
      <c r="M108" s="13">
        <f t="shared" si="8"/>
        <v>9180</v>
      </c>
      <c r="N108" s="13">
        <f t="shared" si="9"/>
        <v>0</v>
      </c>
      <c r="O108" s="13">
        <f t="shared" si="10"/>
        <v>9180</v>
      </c>
      <c r="P108" s="13">
        <f t="shared" si="11"/>
        <v>5049</v>
      </c>
      <c r="Q108" s="13">
        <f t="shared" si="12"/>
        <v>4131</v>
      </c>
      <c r="R108" s="10">
        <f t="shared" si="13"/>
        <v>0.45</v>
      </c>
      <c r="S108" t="str">
        <f t="shared" si="14"/>
        <v>Jul-2026</v>
      </c>
      <c r="T108" t="str">
        <f t="shared" si="15"/>
        <v>OK</v>
      </c>
    </row>
    <row r="109" spans="1:20">
      <c r="A109" t="str">
        <f>TRIM(Raw_Data!A109)</f>
        <v>ORD-10108</v>
      </c>
      <c r="B109" s="12">
        <f>IFERROR(IF(ISNUMBER(Raw_Data!B109),Raw_Data!B109,DATEVALUE(Raw_Data!B109)),"")</f>
        <v>46179</v>
      </c>
      <c r="C109" t="str">
        <f>PROPER(TRIM(Raw_Data!C109))</f>
        <v>Bhoomika</v>
      </c>
      <c r="D109" t="str">
        <f>IF(TRIM(Raw_Data!D109)="Bangalore","Bengaluru",IF(TRIM(Raw_Data!D109)="Mysore","Mysuru",IF(TRIM(Raw_Data!D109)="Cochin","Kochi",PROPER(TRIM(Raw_Data!D109)))))</f>
        <v>Mumbai</v>
      </c>
      <c r="E109" t="str">
        <f>PROPER(TRIM(Raw_Data!E109))</f>
        <v>Retail Store</v>
      </c>
      <c r="F109" t="str">
        <f>PROPER(TRIM(Raw_Data!F109))</f>
        <v>Smb</v>
      </c>
      <c r="G109" t="str">
        <f>PROPER(TRIM(Raw_Data!G109))</f>
        <v>Headset</v>
      </c>
      <c r="H109" t="str">
        <f>PROPER(TRIM(Raw_Data!H109))</f>
        <v>Headset Pro</v>
      </c>
      <c r="I109">
        <f>IFERROR(MAX(0,VALUE(Raw_Data!I109)),0)</f>
        <v>1</v>
      </c>
      <c r="J109" s="13">
        <f>IFERROR(VALUE(Raw_Data!J109),0)</f>
        <v>7246</v>
      </c>
      <c r="K109" s="14">
        <f>IFERROR(VALUE(Raw_Data!K109),0)</f>
        <v>0.02</v>
      </c>
      <c r="L109" t="str">
        <f>PROPER(TRIM(Raw_Data!L109))</f>
        <v>Pending</v>
      </c>
      <c r="M109" s="13">
        <f t="shared" si="8"/>
        <v>7246</v>
      </c>
      <c r="N109" s="13">
        <f t="shared" si="9"/>
        <v>144.92</v>
      </c>
      <c r="O109" s="13">
        <f t="shared" si="10"/>
        <v>7101.08</v>
      </c>
      <c r="P109" s="13">
        <f t="shared" si="11"/>
        <v>4347.6</v>
      </c>
      <c r="Q109" s="13">
        <f t="shared" si="12"/>
        <v>2753.48</v>
      </c>
      <c r="R109" s="10">
        <f t="shared" si="13"/>
        <v>0.387755102040816</v>
      </c>
      <c r="S109" t="str">
        <f t="shared" si="14"/>
        <v>Jun-2026</v>
      </c>
      <c r="T109" t="str">
        <f t="shared" si="15"/>
        <v>OK</v>
      </c>
    </row>
    <row r="110" spans="1:20">
      <c r="A110" t="str">
        <f>TRIM(Raw_Data!A110)</f>
        <v>ORD-10109</v>
      </c>
      <c r="B110" s="12">
        <f>IFERROR(IF(ISNUMBER(Raw_Data!B110),Raw_Data!B110,DATEVALUE(Raw_Data!B110)),"")</f>
        <v>46153</v>
      </c>
      <c r="C110" t="str">
        <f>PROPER(TRIM(Raw_Data!C110))</f>
        <v>Meghana</v>
      </c>
      <c r="D110" t="str">
        <f>IF(TRIM(Raw_Data!D110)="Bangalore","Bengaluru",IF(TRIM(Raw_Data!D110)="Mysore","Mysuru",IF(TRIM(Raw_Data!D110)="Cochin","Kochi",PROPER(TRIM(Raw_Data!D110)))))</f>
        <v>Mysuru</v>
      </c>
      <c r="E110" t="str">
        <f>PROPER(TRIM(Raw_Data!E110))</f>
        <v>Online</v>
      </c>
      <c r="F110" t="str">
        <f>PROPER(TRIM(Raw_Data!F110))</f>
        <v>Enterprise</v>
      </c>
      <c r="G110" t="str">
        <f>PROPER(TRIM(Raw_Data!G110))</f>
        <v>Keyboard</v>
      </c>
      <c r="H110" t="str">
        <f>PROPER(TRIM(Raw_Data!H110))</f>
        <v>Keyboard Wireless</v>
      </c>
      <c r="I110">
        <f>IFERROR(MAX(0,VALUE(Raw_Data!I110)),0)</f>
        <v>2</v>
      </c>
      <c r="J110" s="13">
        <f>IFERROR(VALUE(Raw_Data!J110),0)</f>
        <v>4212</v>
      </c>
      <c r="K110" s="14">
        <f>IFERROR(VALUE(Raw_Data!K110),0)</f>
        <v>0.1</v>
      </c>
      <c r="L110" t="str">
        <f>PROPER(TRIM(Raw_Data!L110))</f>
        <v>Returned</v>
      </c>
      <c r="M110" s="13">
        <f t="shared" si="8"/>
        <v>8424</v>
      </c>
      <c r="N110" s="13">
        <f t="shared" si="9"/>
        <v>842.4</v>
      </c>
      <c r="O110" s="13">
        <f t="shared" si="10"/>
        <v>7581.6</v>
      </c>
      <c r="P110" s="13">
        <f t="shared" si="11"/>
        <v>4885.92</v>
      </c>
      <c r="Q110" s="13">
        <f t="shared" si="12"/>
        <v>2695.68</v>
      </c>
      <c r="R110" s="10">
        <f t="shared" si="13"/>
        <v>0.355555555555556</v>
      </c>
      <c r="S110" t="str">
        <f t="shared" si="14"/>
        <v>May-2026</v>
      </c>
      <c r="T110" t="str">
        <f t="shared" si="15"/>
        <v>OK</v>
      </c>
    </row>
    <row r="111" spans="1:20">
      <c r="A111" t="str">
        <f>TRIM(Raw_Data!A111)</f>
        <v>ORD-10110</v>
      </c>
      <c r="B111" s="12">
        <f>IFERROR(IF(ISNUMBER(Raw_Data!B111),Raw_Data!B111,DATEVALUE(Raw_Data!B111)),"")</f>
        <v>46086</v>
      </c>
      <c r="C111" t="str">
        <f>PROPER(TRIM(Raw_Data!C111))</f>
        <v>Asha</v>
      </c>
      <c r="D111" t="str">
        <f>IF(TRIM(Raw_Data!D111)="Bangalore","Bengaluru",IF(TRIM(Raw_Data!D111)="Mysore","Mysuru",IF(TRIM(Raw_Data!D111)="Cochin","Kochi",PROPER(TRIM(Raw_Data!D111)))))</f>
        <v>New Delhi</v>
      </c>
      <c r="E111" t="str">
        <f>PROPER(TRIM(Raw_Data!E111))</f>
        <v>Retail Store</v>
      </c>
      <c r="F111" t="str">
        <f>PROPER(TRIM(Raw_Data!F111))</f>
        <v>Enterprise</v>
      </c>
      <c r="G111" t="str">
        <f>PROPER(TRIM(Raw_Data!G111))</f>
        <v>Mouse</v>
      </c>
      <c r="H111" t="str">
        <f>PROPER(TRIM(Raw_Data!H111))</f>
        <v>Mouse Basic</v>
      </c>
      <c r="I111">
        <f>IFERROR(MAX(0,VALUE(Raw_Data!I111)),0)</f>
        <v>1</v>
      </c>
      <c r="J111" s="13">
        <f>IFERROR(VALUE(Raw_Data!J111),0)</f>
        <v>1189</v>
      </c>
      <c r="K111" s="14">
        <f>IFERROR(VALUE(Raw_Data!K111),0)</f>
        <v>0.02</v>
      </c>
      <c r="L111" t="str">
        <f>PROPER(TRIM(Raw_Data!L111))</f>
        <v>Delivered</v>
      </c>
      <c r="M111" s="13">
        <f t="shared" si="8"/>
        <v>1189</v>
      </c>
      <c r="N111" s="13">
        <f t="shared" si="9"/>
        <v>23.78</v>
      </c>
      <c r="O111" s="13">
        <f t="shared" si="10"/>
        <v>1165.22</v>
      </c>
      <c r="P111" s="13">
        <f t="shared" si="11"/>
        <v>653.95</v>
      </c>
      <c r="Q111" s="13">
        <f t="shared" si="12"/>
        <v>511.27</v>
      </c>
      <c r="R111" s="10">
        <f t="shared" si="13"/>
        <v>0.438775510204082</v>
      </c>
      <c r="S111" t="str">
        <f t="shared" si="14"/>
        <v>Mar-2026</v>
      </c>
      <c r="T111" t="str">
        <f t="shared" si="15"/>
        <v>OK</v>
      </c>
    </row>
    <row r="112" spans="1:20">
      <c r="A112" t="str">
        <f>TRIM(Raw_Data!A112)</f>
        <v>ORD-10111</v>
      </c>
      <c r="B112" s="12">
        <f>IFERROR(IF(ISNUMBER(Raw_Data!B112),Raw_Data!B112,DATEVALUE(Raw_Data!B112)),"")</f>
        <v>46149</v>
      </c>
      <c r="C112" t="str">
        <f>PROPER(TRIM(Raw_Data!C112))</f>
        <v>Arjun</v>
      </c>
      <c r="D112" t="str">
        <f>IF(TRIM(Raw_Data!D112)="Bangalore","Bengaluru",IF(TRIM(Raw_Data!D112)="Mysore","Mysuru",IF(TRIM(Raw_Data!D112)="Cochin","Kochi",PROPER(TRIM(Raw_Data!D112)))))</f>
        <v>Pune</v>
      </c>
      <c r="E112" t="str">
        <f>PROPER(TRIM(Raw_Data!E112))</f>
        <v>Corporate</v>
      </c>
      <c r="F112" t="str">
        <f>PROPER(TRIM(Raw_Data!F112))</f>
        <v>Smb</v>
      </c>
      <c r="G112" t="str">
        <f>PROPER(TRIM(Raw_Data!G112))</f>
        <v>Monitor</v>
      </c>
      <c r="H112" t="str">
        <f>PROPER(TRIM(Raw_Data!H112))</f>
        <v>Monitor 32</v>
      </c>
      <c r="I112">
        <f>IFERROR(MAX(0,VALUE(Raw_Data!I112)),0)</f>
        <v>6</v>
      </c>
      <c r="J112" s="13">
        <f>IFERROR(VALUE(Raw_Data!J112),0)</f>
        <v>9208</v>
      </c>
      <c r="K112" s="14">
        <f>IFERROR(VALUE(Raw_Data!K112),0)</f>
        <v>0.15</v>
      </c>
      <c r="L112" t="str">
        <f>PROPER(TRIM(Raw_Data!L112))</f>
        <v>Returned</v>
      </c>
      <c r="M112" s="13">
        <f t="shared" si="8"/>
        <v>55248</v>
      </c>
      <c r="N112" s="13">
        <f t="shared" si="9"/>
        <v>8287.2</v>
      </c>
      <c r="O112" s="13">
        <f t="shared" si="10"/>
        <v>46960.8</v>
      </c>
      <c r="P112" s="13">
        <f t="shared" si="11"/>
        <v>38673.6</v>
      </c>
      <c r="Q112" s="13">
        <f t="shared" si="12"/>
        <v>8287.2</v>
      </c>
      <c r="R112" s="10">
        <f t="shared" si="13"/>
        <v>0.176470588235294</v>
      </c>
      <c r="S112" t="str">
        <f t="shared" si="14"/>
        <v>May-2026</v>
      </c>
      <c r="T112" t="str">
        <f t="shared" si="15"/>
        <v>OK</v>
      </c>
    </row>
    <row r="113" spans="1:20">
      <c r="A113" t="str">
        <f>TRIM(Raw_Data!A113)</f>
        <v>ORD-10112</v>
      </c>
      <c r="B113" s="12">
        <f>IFERROR(IF(ISNUMBER(Raw_Data!B113),Raw_Data!B113,DATEVALUE(Raw_Data!B113)),"")</f>
        <v>46239</v>
      </c>
      <c r="C113" t="str">
        <f>PROPER(TRIM(Raw_Data!C113))</f>
        <v>Kiran</v>
      </c>
      <c r="D113" t="str">
        <f>IF(TRIM(Raw_Data!D113)="Bangalore","Bengaluru",IF(TRIM(Raw_Data!D113)="Mysore","Mysuru",IF(TRIM(Raw_Data!D113)="Cochin","Kochi",PROPER(TRIM(Raw_Data!D113)))))</f>
        <v>New Delhi</v>
      </c>
      <c r="E113" t="str">
        <f>PROPER(TRIM(Raw_Data!E113))</f>
        <v>Retail Store</v>
      </c>
      <c r="F113" t="str">
        <f>PROPER(TRIM(Raw_Data!F113))</f>
        <v>Enterprise</v>
      </c>
      <c r="G113" t="str">
        <f>PROPER(TRIM(Raw_Data!G113))</f>
        <v>Headset</v>
      </c>
      <c r="H113" t="str">
        <f>PROPER(TRIM(Raw_Data!H113))</f>
        <v>Headset Wireless</v>
      </c>
      <c r="I113">
        <f>IFERROR(MAX(0,VALUE(Raw_Data!I113)),0)</f>
        <v>7</v>
      </c>
      <c r="J113" s="13">
        <f>IFERROR(VALUE(Raw_Data!J113),0)</f>
        <v>2593</v>
      </c>
      <c r="K113" s="14">
        <f>IFERROR(VALUE(Raw_Data!K113),0)</f>
        <v>0</v>
      </c>
      <c r="L113" t="str">
        <f>PROPER(TRIM(Raw_Data!L113))</f>
        <v>Cancelled</v>
      </c>
      <c r="M113" s="13">
        <f t="shared" si="8"/>
        <v>18151</v>
      </c>
      <c r="N113" s="13">
        <f t="shared" si="9"/>
        <v>0</v>
      </c>
      <c r="O113" s="13">
        <f t="shared" si="10"/>
        <v>18151</v>
      </c>
      <c r="P113" s="13">
        <f t="shared" si="11"/>
        <v>10890.6</v>
      </c>
      <c r="Q113" s="13">
        <f t="shared" si="12"/>
        <v>7260.4</v>
      </c>
      <c r="R113" s="10">
        <f t="shared" si="13"/>
        <v>0.4</v>
      </c>
      <c r="S113" t="str">
        <f t="shared" si="14"/>
        <v>Aug-2026</v>
      </c>
      <c r="T113" t="str">
        <f t="shared" si="15"/>
        <v>OK</v>
      </c>
    </row>
    <row r="114" spans="1:20">
      <c r="A114" t="str">
        <f>TRIM(Raw_Data!A114)</f>
        <v>ORD-10113</v>
      </c>
      <c r="B114" s="12">
        <f>IFERROR(IF(ISNUMBER(Raw_Data!B114),Raw_Data!B114,DATEVALUE(Raw_Data!B114)),"")</f>
        <v>46172</v>
      </c>
      <c r="C114" t="str">
        <f>PROPER(TRIM(Raw_Data!C114))</f>
        <v>Meghana</v>
      </c>
      <c r="D114" t="str">
        <f>IF(TRIM(Raw_Data!D114)="Bangalore","Bengaluru",IF(TRIM(Raw_Data!D114)="Mysore","Mysuru",IF(TRIM(Raw_Data!D114)="Cochin","Kochi",PROPER(TRIM(Raw_Data!D114)))))</f>
        <v>Chennai</v>
      </c>
      <c r="E114" t="str">
        <f>PROPER(TRIM(Raw_Data!E114))</f>
        <v>Online</v>
      </c>
      <c r="F114" t="str">
        <f>PROPER(TRIM(Raw_Data!F114))</f>
        <v>Consumer</v>
      </c>
      <c r="G114" t="str">
        <f>PROPER(TRIM(Raw_Data!G114))</f>
        <v>Laptop</v>
      </c>
      <c r="H114" t="str">
        <f>PROPER(TRIM(Raw_Data!H114))</f>
        <v>Laptop Pro 14</v>
      </c>
      <c r="I114">
        <f>IFERROR(MAX(0,VALUE(Raw_Data!I114)),0)</f>
        <v>2</v>
      </c>
      <c r="J114" s="13">
        <f>IFERROR(VALUE(Raw_Data!J114),0)</f>
        <v>55772</v>
      </c>
      <c r="K114" s="14">
        <f>IFERROR(VALUE(Raw_Data!K114),0)</f>
        <v>0.1</v>
      </c>
      <c r="L114" t="str">
        <f>PROPER(TRIM(Raw_Data!L114))</f>
        <v>Delivered</v>
      </c>
      <c r="M114" s="13">
        <f t="shared" si="8"/>
        <v>111544</v>
      </c>
      <c r="N114" s="13">
        <f t="shared" si="9"/>
        <v>11154.4</v>
      </c>
      <c r="O114" s="13">
        <f t="shared" si="10"/>
        <v>100389.6</v>
      </c>
      <c r="P114" s="13">
        <f t="shared" si="11"/>
        <v>87004.32</v>
      </c>
      <c r="Q114" s="13">
        <f t="shared" si="12"/>
        <v>13385.28</v>
      </c>
      <c r="R114" s="10">
        <f t="shared" si="13"/>
        <v>0.133333333333333</v>
      </c>
      <c r="S114" t="str">
        <f t="shared" si="14"/>
        <v>May-2026</v>
      </c>
      <c r="T114" t="str">
        <f t="shared" si="15"/>
        <v>OK</v>
      </c>
    </row>
    <row r="115" spans="1:20">
      <c r="A115" t="str">
        <f>TRIM(Raw_Data!A115)</f>
        <v>ORD-10114</v>
      </c>
      <c r="B115" s="12">
        <f>IFERROR(IF(ISNUMBER(Raw_Data!B115),Raw_Data!B115,DATEVALUE(Raw_Data!B115)),"")</f>
        <v>46099</v>
      </c>
      <c r="C115" t="str">
        <f>PROPER(TRIM(Raw_Data!C115))</f>
        <v>Meghana</v>
      </c>
      <c r="D115" t="str">
        <f>IF(TRIM(Raw_Data!D115)="Bangalore","Bengaluru",IF(TRIM(Raw_Data!D115)="Mysore","Mysuru",IF(TRIM(Raw_Data!D115)="Cochin","Kochi",PROPER(TRIM(Raw_Data!D115)))))</f>
        <v>Bengaluru</v>
      </c>
      <c r="E115" t="str">
        <f>PROPER(TRIM(Raw_Data!E115))</f>
        <v>Retail Store</v>
      </c>
      <c r="F115" t="str">
        <f>PROPER(TRIM(Raw_Data!F115))</f>
        <v>Consumer</v>
      </c>
      <c r="G115" t="str">
        <f>PROPER(TRIM(Raw_Data!G115))</f>
        <v>Keyboard</v>
      </c>
      <c r="H115" t="str">
        <f>PROPER(TRIM(Raw_Data!H115))</f>
        <v>Keyboard Wireless</v>
      </c>
      <c r="I115">
        <f>IFERROR(MAX(0,VALUE(Raw_Data!I115)),0)</f>
        <v>2</v>
      </c>
      <c r="J115" s="13">
        <f>IFERROR(VALUE(Raw_Data!J115),0)</f>
        <v>3246</v>
      </c>
      <c r="K115" s="14">
        <f>IFERROR(VALUE(Raw_Data!K115),0)</f>
        <v>0.02</v>
      </c>
      <c r="L115" t="str">
        <f>PROPER(TRIM(Raw_Data!L115))</f>
        <v>Delivered</v>
      </c>
      <c r="M115" s="13">
        <f t="shared" si="8"/>
        <v>6492</v>
      </c>
      <c r="N115" s="13">
        <f t="shared" si="9"/>
        <v>129.84</v>
      </c>
      <c r="O115" s="13">
        <f t="shared" si="10"/>
        <v>6362.16</v>
      </c>
      <c r="P115" s="13">
        <f t="shared" si="11"/>
        <v>3765.36</v>
      </c>
      <c r="Q115" s="13">
        <f t="shared" si="12"/>
        <v>2596.8</v>
      </c>
      <c r="R115" s="10">
        <f t="shared" si="13"/>
        <v>0.408163265306123</v>
      </c>
      <c r="S115" t="str">
        <f t="shared" si="14"/>
        <v>Mar-2026</v>
      </c>
      <c r="T115" t="str">
        <f t="shared" si="15"/>
        <v>OK</v>
      </c>
    </row>
    <row r="116" spans="1:20">
      <c r="A116" t="str">
        <f>TRIM(Raw_Data!A116)</f>
        <v>ORD-10115</v>
      </c>
      <c r="B116" s="12">
        <f>IFERROR(IF(ISNUMBER(Raw_Data!B116),Raw_Data!B116,DATEVALUE(Raw_Data!B116)),"")</f>
        <v>46254</v>
      </c>
      <c r="C116" t="str">
        <f>PROPER(TRIM(Raw_Data!C116))</f>
        <v>Kiran</v>
      </c>
      <c r="D116" t="str">
        <f>IF(TRIM(Raw_Data!D116)="Bangalore","Bengaluru",IF(TRIM(Raw_Data!D116)="Mysore","Mysuru",IF(TRIM(Raw_Data!D116)="Cochin","Kochi",PROPER(TRIM(Raw_Data!D116)))))</f>
        <v>Bengaluru</v>
      </c>
      <c r="E116" t="str">
        <f>PROPER(TRIM(Raw_Data!E116))</f>
        <v>Online</v>
      </c>
      <c r="F116" t="str">
        <f>PROPER(TRIM(Raw_Data!F116))</f>
        <v>Enterprise</v>
      </c>
      <c r="G116" t="str">
        <f>PROPER(TRIM(Raw_Data!G116))</f>
        <v>Keyboard</v>
      </c>
      <c r="H116" t="str">
        <f>PROPER(TRIM(Raw_Data!H116))</f>
        <v>Keyboard Wireless</v>
      </c>
      <c r="I116">
        <f>IFERROR(MAX(0,VALUE(Raw_Data!I116)),0)</f>
        <v>7</v>
      </c>
      <c r="J116" s="13">
        <f>IFERROR(VALUE(Raw_Data!J116),0)</f>
        <v>2576</v>
      </c>
      <c r="K116" s="14">
        <f>IFERROR(VALUE(Raw_Data!K116),0)</f>
        <v>0.08</v>
      </c>
      <c r="L116" t="str">
        <f>PROPER(TRIM(Raw_Data!L116))</f>
        <v>Delivered</v>
      </c>
      <c r="M116" s="13">
        <f t="shared" si="8"/>
        <v>18032</v>
      </c>
      <c r="N116" s="13">
        <f t="shared" si="9"/>
        <v>1442.56</v>
      </c>
      <c r="O116" s="13">
        <f t="shared" si="10"/>
        <v>16589.44</v>
      </c>
      <c r="P116" s="13">
        <f t="shared" si="11"/>
        <v>10458.56</v>
      </c>
      <c r="Q116" s="13">
        <f t="shared" si="12"/>
        <v>6130.88</v>
      </c>
      <c r="R116" s="10">
        <f t="shared" si="13"/>
        <v>0.369565217391304</v>
      </c>
      <c r="S116" t="str">
        <f t="shared" si="14"/>
        <v>Aug-2026</v>
      </c>
      <c r="T116" t="str">
        <f t="shared" si="15"/>
        <v>OK</v>
      </c>
    </row>
    <row r="117" spans="1:20">
      <c r="A117" t="str">
        <f>TRIM(Raw_Data!A117)</f>
        <v>ORD-10116</v>
      </c>
      <c r="B117" s="12">
        <f>IFERROR(IF(ISNUMBER(Raw_Data!B117),Raw_Data!B117,DATEVALUE(Raw_Data!B117)),"")</f>
        <v>46121</v>
      </c>
      <c r="C117" t="str">
        <f>PROPER(TRIM(Raw_Data!C117))</f>
        <v>Arjun</v>
      </c>
      <c r="D117" t="str">
        <f>IF(TRIM(Raw_Data!D117)="Bangalore","Bengaluru",IF(TRIM(Raw_Data!D117)="Mysore","Mysuru",IF(TRIM(Raw_Data!D117)="Cochin","Kochi",PROPER(TRIM(Raw_Data!D117)))))</f>
        <v>Pune</v>
      </c>
      <c r="E117" t="str">
        <f>PROPER(TRIM(Raw_Data!E117))</f>
        <v>Retail Store</v>
      </c>
      <c r="F117" t="str">
        <f>PROPER(TRIM(Raw_Data!F117))</f>
        <v>Smb</v>
      </c>
      <c r="G117" t="str">
        <f>PROPER(TRIM(Raw_Data!G117))</f>
        <v>Monitor</v>
      </c>
      <c r="H117" t="str">
        <f>PROPER(TRIM(Raw_Data!H117))</f>
        <v>Monitor 27</v>
      </c>
      <c r="I117">
        <f>IFERROR(MAX(0,VALUE(Raw_Data!I117)),0)</f>
        <v>6</v>
      </c>
      <c r="J117" s="13">
        <f>IFERROR(VALUE(Raw_Data!J117),0)</f>
        <v>17164</v>
      </c>
      <c r="K117" s="14">
        <f>IFERROR(VALUE(Raw_Data!K117),0)</f>
        <v>0.08</v>
      </c>
      <c r="L117" t="str">
        <f>PROPER(TRIM(Raw_Data!L117))</f>
        <v>Cancelled</v>
      </c>
      <c r="M117" s="13">
        <f t="shared" si="8"/>
        <v>102984</v>
      </c>
      <c r="N117" s="13">
        <f t="shared" si="9"/>
        <v>8238.72</v>
      </c>
      <c r="O117" s="13">
        <f t="shared" si="10"/>
        <v>94745.28</v>
      </c>
      <c r="P117" s="13">
        <f t="shared" si="11"/>
        <v>72088.8</v>
      </c>
      <c r="Q117" s="13">
        <f t="shared" si="12"/>
        <v>22656.48</v>
      </c>
      <c r="R117" s="10">
        <f t="shared" si="13"/>
        <v>0.239130434782609</v>
      </c>
      <c r="S117" t="str">
        <f t="shared" si="14"/>
        <v>Apr-2026</v>
      </c>
      <c r="T117" t="str">
        <f t="shared" si="15"/>
        <v>OK</v>
      </c>
    </row>
    <row r="118" spans="1:20">
      <c r="A118" t="str">
        <f>TRIM(Raw_Data!A118)</f>
        <v>ORD-10117</v>
      </c>
      <c r="B118" s="12">
        <f>IFERROR(IF(ISNUMBER(Raw_Data!B118),Raw_Data!B118,DATEVALUE(Raw_Data!B118)),"")</f>
        <v>46082</v>
      </c>
      <c r="C118" t="str">
        <f>PROPER(TRIM(Raw_Data!C118))</f>
        <v>Arjun</v>
      </c>
      <c r="D118" t="str">
        <f>IF(TRIM(Raw_Data!D118)="Bangalore","Bengaluru",IF(TRIM(Raw_Data!D118)="Mysore","Mysuru",IF(TRIM(Raw_Data!D118)="Cochin","Kochi",PROPER(TRIM(Raw_Data!D118)))))</f>
        <v>Pune</v>
      </c>
      <c r="E118" t="str">
        <f>PROPER(TRIM(Raw_Data!E118))</f>
        <v>Corporate</v>
      </c>
      <c r="F118" t="str">
        <f>PROPER(TRIM(Raw_Data!F118))</f>
        <v>Consumer</v>
      </c>
      <c r="G118" t="str">
        <f>PROPER(TRIM(Raw_Data!G118))</f>
        <v>Monitor</v>
      </c>
      <c r="H118" t="str">
        <f>PROPER(TRIM(Raw_Data!H118))</f>
        <v>Monitor 24</v>
      </c>
      <c r="I118">
        <f>IFERROR(MAX(0,VALUE(Raw_Data!I118)),0)</f>
        <v>7</v>
      </c>
      <c r="J118" s="13">
        <f>IFERROR(VALUE(Raw_Data!J118),0)</f>
        <v>17733</v>
      </c>
      <c r="K118" s="14">
        <f>IFERROR(VALUE(Raw_Data!K118),0)</f>
        <v>0.05</v>
      </c>
      <c r="L118" t="str">
        <f>PROPER(TRIM(Raw_Data!L118))</f>
        <v>Delivered</v>
      </c>
      <c r="M118" s="13">
        <f t="shared" si="8"/>
        <v>124131</v>
      </c>
      <c r="N118" s="13">
        <f t="shared" si="9"/>
        <v>6206.55</v>
      </c>
      <c r="O118" s="13">
        <f t="shared" si="10"/>
        <v>117924.45</v>
      </c>
      <c r="P118" s="13">
        <f t="shared" si="11"/>
        <v>86891.7</v>
      </c>
      <c r="Q118" s="13">
        <f t="shared" si="12"/>
        <v>31032.75</v>
      </c>
      <c r="R118" s="10">
        <f t="shared" si="13"/>
        <v>0.263157894736842</v>
      </c>
      <c r="S118" t="str">
        <f t="shared" si="14"/>
        <v>Mar-2026</v>
      </c>
      <c r="T118" t="str">
        <f t="shared" si="15"/>
        <v>OK</v>
      </c>
    </row>
    <row r="119" spans="1:20">
      <c r="A119" t="str">
        <f>TRIM(Raw_Data!A119)</f>
        <v>ORD-10118</v>
      </c>
      <c r="B119" s="12">
        <f>IFERROR(IF(ISNUMBER(Raw_Data!B119),Raw_Data!B119,DATEVALUE(Raw_Data!B119)),"")</f>
        <v>46046</v>
      </c>
      <c r="C119" t="str">
        <f>PROPER(TRIM(Raw_Data!C119))</f>
        <v>Arjun</v>
      </c>
      <c r="D119" t="str">
        <f>IF(TRIM(Raw_Data!D119)="Bangalore","Bengaluru",IF(TRIM(Raw_Data!D119)="Mysore","Mysuru",IF(TRIM(Raw_Data!D119)="Cochin","Kochi",PROPER(TRIM(Raw_Data!D119)))))</f>
        <v>Pune</v>
      </c>
      <c r="E119" t="str">
        <f>PROPER(TRIM(Raw_Data!E119))</f>
        <v>Corporate</v>
      </c>
      <c r="F119" t="str">
        <f>PROPER(TRIM(Raw_Data!F119))</f>
        <v>Smb</v>
      </c>
      <c r="G119" t="str">
        <f>PROPER(TRIM(Raw_Data!G119))</f>
        <v>Laptop</v>
      </c>
      <c r="H119" t="str">
        <f>PROPER(TRIM(Raw_Data!H119))</f>
        <v>Laptop Pro 14</v>
      </c>
      <c r="I119">
        <f>IFERROR(MAX(0,VALUE(Raw_Data!I119)),0)</f>
        <v>4</v>
      </c>
      <c r="J119" s="13">
        <f>IFERROR(VALUE(Raw_Data!J119),0)</f>
        <v>46306</v>
      </c>
      <c r="K119" s="14">
        <f>IFERROR(VALUE(Raw_Data!K119),0)</f>
        <v>0.02</v>
      </c>
      <c r="L119" t="str">
        <f>PROPER(TRIM(Raw_Data!L119))</f>
        <v>Delivered</v>
      </c>
      <c r="M119" s="13">
        <f t="shared" si="8"/>
        <v>185224</v>
      </c>
      <c r="N119" s="13">
        <f t="shared" si="9"/>
        <v>3704.48</v>
      </c>
      <c r="O119" s="13">
        <f t="shared" si="10"/>
        <v>181519.52</v>
      </c>
      <c r="P119" s="13">
        <f t="shared" si="11"/>
        <v>144474.72</v>
      </c>
      <c r="Q119" s="13">
        <f t="shared" si="12"/>
        <v>37044.8</v>
      </c>
      <c r="R119" s="10">
        <f t="shared" si="13"/>
        <v>0.204081632653061</v>
      </c>
      <c r="S119" t="str">
        <f t="shared" si="14"/>
        <v>Jan-2026</v>
      </c>
      <c r="T119" t="str">
        <f t="shared" si="15"/>
        <v>OK</v>
      </c>
    </row>
    <row r="120" spans="1:20">
      <c r="A120" t="str">
        <f>TRIM(Raw_Data!A120)</f>
        <v>ORD-10119</v>
      </c>
      <c r="B120" s="12">
        <f>IFERROR(IF(ISNUMBER(Raw_Data!B120),Raw_Data!B120,DATEVALUE(Raw_Data!B120)),"")</f>
        <v>46063</v>
      </c>
      <c r="C120" t="str">
        <f>PROPER(TRIM(Raw_Data!C120))</f>
        <v>Bhoomika</v>
      </c>
      <c r="D120" t="str">
        <f>IF(TRIM(Raw_Data!D120)="Bangalore","Bengaluru",IF(TRIM(Raw_Data!D120)="Mysore","Mysuru",IF(TRIM(Raw_Data!D120)="Cochin","Kochi",PROPER(TRIM(Raw_Data!D120)))))</f>
        <v>Mysuru</v>
      </c>
      <c r="E120" t="str">
        <f>PROPER(TRIM(Raw_Data!E120))</f>
        <v>Corporate</v>
      </c>
      <c r="F120" t="str">
        <f>PROPER(TRIM(Raw_Data!F120))</f>
        <v>Enterprise</v>
      </c>
      <c r="G120" t="str">
        <f>PROPER(TRIM(Raw_Data!G120))</f>
        <v>Mouse</v>
      </c>
      <c r="H120" t="str">
        <f>PROPER(TRIM(Raw_Data!H120))</f>
        <v>Mouse Basic</v>
      </c>
      <c r="I120">
        <f>IFERROR(MAX(0,VALUE(Raw_Data!I120)),0)</f>
        <v>3</v>
      </c>
      <c r="J120" s="13">
        <f>IFERROR(VALUE(Raw_Data!J120),0)</f>
        <v>1614</v>
      </c>
      <c r="K120" s="14">
        <f>IFERROR(VALUE(Raw_Data!K120),0)</f>
        <v>0.08</v>
      </c>
      <c r="L120" t="str">
        <f>PROPER(TRIM(Raw_Data!L120))</f>
        <v>Delivered</v>
      </c>
      <c r="M120" s="13">
        <f t="shared" si="8"/>
        <v>4842</v>
      </c>
      <c r="N120" s="13">
        <f t="shared" si="9"/>
        <v>387.36</v>
      </c>
      <c r="O120" s="13">
        <f t="shared" si="10"/>
        <v>4454.64</v>
      </c>
      <c r="P120" s="13">
        <f t="shared" si="11"/>
        <v>2663.1</v>
      </c>
      <c r="Q120" s="13">
        <f t="shared" si="12"/>
        <v>1791.54</v>
      </c>
      <c r="R120" s="10">
        <f t="shared" si="13"/>
        <v>0.402173913043478</v>
      </c>
      <c r="S120" t="str">
        <f t="shared" si="14"/>
        <v>Feb-2026</v>
      </c>
      <c r="T120" t="str">
        <f t="shared" si="15"/>
        <v>OK</v>
      </c>
    </row>
    <row r="121" spans="1:20">
      <c r="A121" t="str">
        <f>TRIM(Raw_Data!A121)</f>
        <v>ORD-10120</v>
      </c>
      <c r="B121" s="12">
        <f>IFERROR(IF(ISNUMBER(Raw_Data!B121),Raw_Data!B121,DATEVALUE(Raw_Data!B121)),"")</f>
        <v>46107</v>
      </c>
      <c r="C121" t="str">
        <f>PROPER(TRIM(Raw_Data!C121))</f>
        <v>Meghana</v>
      </c>
      <c r="D121" t="str">
        <f>IF(TRIM(Raw_Data!D121)="Bangalore","Bengaluru",IF(TRIM(Raw_Data!D121)="Mysore","Mysuru",IF(TRIM(Raw_Data!D121)="Cochin","Kochi",PROPER(TRIM(Raw_Data!D121)))))</f>
        <v>New Delhi</v>
      </c>
      <c r="E121" t="str">
        <f>PROPER(TRIM(Raw_Data!E121))</f>
        <v>Online</v>
      </c>
      <c r="F121" t="str">
        <f>PROPER(TRIM(Raw_Data!F121))</f>
        <v>Smb</v>
      </c>
      <c r="G121" t="str">
        <f>PROPER(TRIM(Raw_Data!G121))</f>
        <v>Laptop</v>
      </c>
      <c r="H121" t="str">
        <f>PROPER(TRIM(Raw_Data!H121))</f>
        <v>Laptop Pro 14</v>
      </c>
      <c r="I121">
        <f>IFERROR(MAX(0,VALUE(Raw_Data!I121)),0)</f>
        <v>6</v>
      </c>
      <c r="J121" s="13">
        <f>IFERROR(VALUE(Raw_Data!J121),0)</f>
        <v>65939</v>
      </c>
      <c r="K121" s="14">
        <f>IFERROR(VALUE(Raw_Data!K121),0)</f>
        <v>0.08</v>
      </c>
      <c r="L121" t="str">
        <f>PROPER(TRIM(Raw_Data!L121))</f>
        <v>Delivered</v>
      </c>
      <c r="M121" s="13">
        <f t="shared" si="8"/>
        <v>395634</v>
      </c>
      <c r="N121" s="13">
        <f t="shared" si="9"/>
        <v>31650.72</v>
      </c>
      <c r="O121" s="13">
        <f t="shared" si="10"/>
        <v>363983.28</v>
      </c>
      <c r="P121" s="13">
        <f t="shared" si="11"/>
        <v>308594.52</v>
      </c>
      <c r="Q121" s="13">
        <f t="shared" si="12"/>
        <v>55388.76</v>
      </c>
      <c r="R121" s="10">
        <f t="shared" si="13"/>
        <v>0.152173913043478</v>
      </c>
      <c r="S121" t="str">
        <f t="shared" si="14"/>
        <v>Mar-2026</v>
      </c>
      <c r="T121" t="str">
        <f t="shared" si="15"/>
        <v>OK</v>
      </c>
    </row>
    <row r="122" spans="1:20">
      <c r="A122" t="str">
        <f>TRIM(Raw_Data!A122)</f>
        <v>ORD-10121</v>
      </c>
      <c r="B122" s="12">
        <f>IFERROR(IF(ISNUMBER(Raw_Data!B122),Raw_Data!B122,DATEVALUE(Raw_Data!B122)),"")</f>
        <v>46244</v>
      </c>
      <c r="C122" t="str">
        <f>PROPER(TRIM(Raw_Data!C122))</f>
        <v>Ravi</v>
      </c>
      <c r="D122" t="str">
        <f>IF(TRIM(Raw_Data!D122)="Bangalore","Bengaluru",IF(TRIM(Raw_Data!D122)="Mysore","Mysuru",IF(TRIM(Raw_Data!D122)="Cochin","Kochi",PROPER(TRIM(Raw_Data!D122)))))</f>
        <v>Pune</v>
      </c>
      <c r="E122" t="str">
        <f>PROPER(TRIM(Raw_Data!E122))</f>
        <v>Online</v>
      </c>
      <c r="F122" t="str">
        <f>PROPER(TRIM(Raw_Data!F122))</f>
        <v>Consumer</v>
      </c>
      <c r="G122" t="str">
        <f>PROPER(TRIM(Raw_Data!G122))</f>
        <v>Headset</v>
      </c>
      <c r="H122" t="str">
        <f>PROPER(TRIM(Raw_Data!H122))</f>
        <v>Headset Office</v>
      </c>
      <c r="I122">
        <f>IFERROR(MAX(0,VALUE(Raw_Data!I122)),0)</f>
        <v>1</v>
      </c>
      <c r="J122" s="13">
        <f>IFERROR(VALUE(Raw_Data!J122),0)</f>
        <v>3915</v>
      </c>
      <c r="K122" s="14">
        <f>IFERROR(VALUE(Raw_Data!K122),0)</f>
        <v>0.05</v>
      </c>
      <c r="L122" t="str">
        <f>PROPER(TRIM(Raw_Data!L122))</f>
        <v>Delivered</v>
      </c>
      <c r="M122" s="13">
        <f t="shared" si="8"/>
        <v>3915</v>
      </c>
      <c r="N122" s="13">
        <f t="shared" si="9"/>
        <v>195.75</v>
      </c>
      <c r="O122" s="13">
        <f t="shared" si="10"/>
        <v>3719.25</v>
      </c>
      <c r="P122" s="13">
        <f t="shared" si="11"/>
        <v>2349</v>
      </c>
      <c r="Q122" s="13">
        <f t="shared" si="12"/>
        <v>1370.25</v>
      </c>
      <c r="R122" s="10">
        <f t="shared" si="13"/>
        <v>0.368421052631579</v>
      </c>
      <c r="S122" t="str">
        <f t="shared" si="14"/>
        <v>Aug-2026</v>
      </c>
      <c r="T122" t="str">
        <f t="shared" si="15"/>
        <v>OK</v>
      </c>
    </row>
    <row r="123" spans="1:20">
      <c r="A123" t="str">
        <f>TRIM(Raw_Data!A123)</f>
        <v>ORD-10122</v>
      </c>
      <c r="B123" s="12">
        <f>IFERROR(IF(ISNUMBER(Raw_Data!B123),Raw_Data!B123,DATEVALUE(Raw_Data!B123)),"")</f>
        <v>46134</v>
      </c>
      <c r="C123" t="str">
        <f>PROPER(TRIM(Raw_Data!C123))</f>
        <v>Ravi</v>
      </c>
      <c r="D123" t="str">
        <f>IF(TRIM(Raw_Data!D123)="Bangalore","Bengaluru",IF(TRIM(Raw_Data!D123)="Mysore","Mysuru",IF(TRIM(Raw_Data!D123)="Cochin","Kochi",PROPER(TRIM(Raw_Data!D123)))))</f>
        <v>Chennai</v>
      </c>
      <c r="E123" t="str">
        <f>PROPER(TRIM(Raw_Data!E123))</f>
        <v>Retail Store</v>
      </c>
      <c r="F123" t="str">
        <f>PROPER(TRIM(Raw_Data!F123))</f>
        <v>Enterprise</v>
      </c>
      <c r="G123" t="str">
        <f>PROPER(TRIM(Raw_Data!G123))</f>
        <v>Monitor</v>
      </c>
      <c r="H123" t="str">
        <f>PROPER(TRIM(Raw_Data!H123))</f>
        <v>Monitor 24</v>
      </c>
      <c r="I123">
        <f>IFERROR(MAX(0,VALUE(Raw_Data!I123)),0)</f>
        <v>5</v>
      </c>
      <c r="J123" s="13">
        <f>IFERROR(VALUE(Raw_Data!J123),0)</f>
        <v>15735</v>
      </c>
      <c r="K123" s="14">
        <f>IFERROR(VALUE(Raw_Data!K123),0)</f>
        <v>0.15</v>
      </c>
      <c r="L123" t="str">
        <f>PROPER(TRIM(Raw_Data!L123))</f>
        <v>Delivered</v>
      </c>
      <c r="M123" s="13">
        <f t="shared" si="8"/>
        <v>78675</v>
      </c>
      <c r="N123" s="13">
        <f t="shared" si="9"/>
        <v>11801.25</v>
      </c>
      <c r="O123" s="13">
        <f t="shared" si="10"/>
        <v>66873.75</v>
      </c>
      <c r="P123" s="13">
        <f t="shared" si="11"/>
        <v>55072.5</v>
      </c>
      <c r="Q123" s="13">
        <f t="shared" si="12"/>
        <v>11801.25</v>
      </c>
      <c r="R123" s="10">
        <f t="shared" si="13"/>
        <v>0.176470588235294</v>
      </c>
      <c r="S123" t="str">
        <f t="shared" si="14"/>
        <v>Apr-2026</v>
      </c>
      <c r="T123" t="str">
        <f t="shared" si="15"/>
        <v>OK</v>
      </c>
    </row>
    <row r="124" spans="1:20">
      <c r="A124" t="str">
        <f>TRIM(Raw_Data!A124)</f>
        <v>ORD-10123</v>
      </c>
      <c r="B124" s="12">
        <f>IFERROR(IF(ISNUMBER(Raw_Data!B124),Raw_Data!B124,DATEVALUE(Raw_Data!B124)),"")</f>
        <v>46043</v>
      </c>
      <c r="C124" t="str">
        <f>PROPER(TRIM(Raw_Data!C124))</f>
        <v>Arjun</v>
      </c>
      <c r="D124" t="str">
        <f>IF(TRIM(Raw_Data!D124)="Bangalore","Bengaluru",IF(TRIM(Raw_Data!D124)="Mysore","Mysuru",IF(TRIM(Raw_Data!D124)="Cochin","Kochi",PROPER(TRIM(Raw_Data!D124)))))</f>
        <v>Mumbai</v>
      </c>
      <c r="E124" t="str">
        <f>PROPER(TRIM(Raw_Data!E124))</f>
        <v>Retail Store</v>
      </c>
      <c r="F124" t="str">
        <f>PROPER(TRIM(Raw_Data!F124))</f>
        <v>Enterprise</v>
      </c>
      <c r="G124" t="str">
        <f>PROPER(TRIM(Raw_Data!G124))</f>
        <v>Mouse</v>
      </c>
      <c r="H124" t="str">
        <f>PROPER(TRIM(Raw_Data!H124))</f>
        <v>Mouse Wireless</v>
      </c>
      <c r="I124">
        <f>IFERROR(MAX(0,VALUE(Raw_Data!I124)),0)</f>
        <v>2</v>
      </c>
      <c r="J124" s="13">
        <f>IFERROR(VALUE(Raw_Data!J124),0)</f>
        <v>3407</v>
      </c>
      <c r="K124" s="14">
        <f>IFERROR(VALUE(Raw_Data!K124),0)</f>
        <v>0.15</v>
      </c>
      <c r="L124" t="str">
        <f>PROPER(TRIM(Raw_Data!L124))</f>
        <v>Cancelled</v>
      </c>
      <c r="M124" s="13">
        <f t="shared" si="8"/>
        <v>6814</v>
      </c>
      <c r="N124" s="13">
        <f t="shared" si="9"/>
        <v>1022.1</v>
      </c>
      <c r="O124" s="13">
        <f t="shared" si="10"/>
        <v>5791.9</v>
      </c>
      <c r="P124" s="13">
        <f t="shared" si="11"/>
        <v>3747.7</v>
      </c>
      <c r="Q124" s="13">
        <f t="shared" si="12"/>
        <v>2044.2</v>
      </c>
      <c r="R124" s="10">
        <f t="shared" si="13"/>
        <v>0.352941176470588</v>
      </c>
      <c r="S124" t="str">
        <f t="shared" si="14"/>
        <v>Jan-2026</v>
      </c>
      <c r="T124" t="str">
        <f t="shared" si="15"/>
        <v>OK</v>
      </c>
    </row>
    <row r="125" spans="1:20">
      <c r="A125" t="str">
        <f>TRIM(Raw_Data!A125)</f>
        <v>ORD-10124</v>
      </c>
      <c r="B125" s="12">
        <f>IFERROR(IF(ISNUMBER(Raw_Data!B125),Raw_Data!B125,DATEVALUE(Raw_Data!B125)),"")</f>
        <v>46128</v>
      </c>
      <c r="C125" t="str">
        <f>PROPER(TRIM(Raw_Data!C125))</f>
        <v>Ravi</v>
      </c>
      <c r="D125" t="str">
        <f>IF(TRIM(Raw_Data!D125)="Bangalore","Bengaluru",IF(TRIM(Raw_Data!D125)="Mysore","Mysuru",IF(TRIM(Raw_Data!D125)="Cochin","Kochi",PROPER(TRIM(Raw_Data!D125)))))</f>
        <v>Bengaluru</v>
      </c>
      <c r="E125" t="str">
        <f>PROPER(TRIM(Raw_Data!E125))</f>
        <v>Online</v>
      </c>
      <c r="F125" t="str">
        <f>PROPER(TRIM(Raw_Data!F125))</f>
        <v>Consumer</v>
      </c>
      <c r="G125" t="str">
        <f>PROPER(TRIM(Raw_Data!G125))</f>
        <v>Headset</v>
      </c>
      <c r="H125" t="str">
        <f>PROPER(TRIM(Raw_Data!H125))</f>
        <v>Headset Pro</v>
      </c>
      <c r="I125">
        <f>IFERROR(MAX(0,VALUE(Raw_Data!I125)),0)</f>
        <v>8</v>
      </c>
      <c r="J125" s="13">
        <f>IFERROR(VALUE(Raw_Data!J125),0)</f>
        <v>7128</v>
      </c>
      <c r="K125" s="14">
        <f>IFERROR(VALUE(Raw_Data!K125),0)</f>
        <v>0.1</v>
      </c>
      <c r="L125" t="str">
        <f>PROPER(TRIM(Raw_Data!L125))</f>
        <v>Delivered</v>
      </c>
      <c r="M125" s="13">
        <f t="shared" si="8"/>
        <v>57024</v>
      </c>
      <c r="N125" s="13">
        <f t="shared" si="9"/>
        <v>5702.4</v>
      </c>
      <c r="O125" s="13">
        <f t="shared" si="10"/>
        <v>51321.6</v>
      </c>
      <c r="P125" s="13">
        <f t="shared" si="11"/>
        <v>34214.4</v>
      </c>
      <c r="Q125" s="13">
        <f t="shared" si="12"/>
        <v>17107.2</v>
      </c>
      <c r="R125" s="10">
        <f t="shared" si="13"/>
        <v>0.333333333333333</v>
      </c>
      <c r="S125" t="str">
        <f t="shared" si="14"/>
        <v>Apr-2026</v>
      </c>
      <c r="T125" t="str">
        <f t="shared" si="15"/>
        <v>OK</v>
      </c>
    </row>
    <row r="126" spans="1:20">
      <c r="A126" t="str">
        <f>TRIM(Raw_Data!A126)</f>
        <v>ORD-10125</v>
      </c>
      <c r="B126" s="12">
        <f>IFERROR(IF(ISNUMBER(Raw_Data!B126),Raw_Data!B126,DATEVALUE(Raw_Data!B126)),"")</f>
        <v>46033</v>
      </c>
      <c r="C126" t="str">
        <f>PROPER(TRIM(Raw_Data!C126))</f>
        <v>Arjun</v>
      </c>
      <c r="D126" t="str">
        <f>IF(TRIM(Raw_Data!D126)="Bangalore","Bengaluru",IF(TRIM(Raw_Data!D126)="Mysore","Mysuru",IF(TRIM(Raw_Data!D126)="Cochin","Kochi",PROPER(TRIM(Raw_Data!D126)))))</f>
        <v>Kochi</v>
      </c>
      <c r="E126" t="str">
        <f>PROPER(TRIM(Raw_Data!E126))</f>
        <v>Online</v>
      </c>
      <c r="F126" t="str">
        <f>PROPER(TRIM(Raw_Data!F126))</f>
        <v>Consumer</v>
      </c>
      <c r="G126" t="str">
        <f>PROPER(TRIM(Raw_Data!G126))</f>
        <v>Mouse</v>
      </c>
      <c r="H126" t="str">
        <f>PROPER(TRIM(Raw_Data!H126))</f>
        <v>Mouse Wireless</v>
      </c>
      <c r="I126">
        <f>IFERROR(MAX(0,VALUE(Raw_Data!I126)),0)</f>
        <v>2</v>
      </c>
      <c r="J126" s="13">
        <f>IFERROR(VALUE(Raw_Data!J126),0)</f>
        <v>2009</v>
      </c>
      <c r="K126" s="14">
        <f>IFERROR(VALUE(Raw_Data!K126),0)</f>
        <v>0</v>
      </c>
      <c r="L126" t="str">
        <f>PROPER(TRIM(Raw_Data!L126))</f>
        <v>Pending</v>
      </c>
      <c r="M126" s="13">
        <f t="shared" si="8"/>
        <v>4018</v>
      </c>
      <c r="N126" s="13">
        <f t="shared" si="9"/>
        <v>0</v>
      </c>
      <c r="O126" s="13">
        <f t="shared" si="10"/>
        <v>4018</v>
      </c>
      <c r="P126" s="13">
        <f t="shared" si="11"/>
        <v>2209.9</v>
      </c>
      <c r="Q126" s="13">
        <f t="shared" si="12"/>
        <v>1808.1</v>
      </c>
      <c r="R126" s="10">
        <f t="shared" si="13"/>
        <v>0.45</v>
      </c>
      <c r="S126" t="str">
        <f t="shared" si="14"/>
        <v>Jan-2026</v>
      </c>
      <c r="T126" t="str">
        <f t="shared" si="15"/>
        <v>OK</v>
      </c>
    </row>
    <row r="127" spans="1:20">
      <c r="A127" t="str">
        <f>TRIM(Raw_Data!A127)</f>
        <v>ORD-10126</v>
      </c>
      <c r="B127" s="12">
        <f>IFERROR(IF(ISNUMBER(Raw_Data!B127),Raw_Data!B127,DATEVALUE(Raw_Data!B127)),"")</f>
        <v>46222</v>
      </c>
      <c r="C127" t="str">
        <f>PROPER(TRIM(Raw_Data!C127))</f>
        <v>Priya</v>
      </c>
      <c r="D127" t="str">
        <f>IF(TRIM(Raw_Data!D127)="Bangalore","Bengaluru",IF(TRIM(Raw_Data!D127)="Mysore","Mysuru",IF(TRIM(Raw_Data!D127)="Cochin","Kochi",PROPER(TRIM(Raw_Data!D127)))))</f>
        <v>Delhi</v>
      </c>
      <c r="E127" t="str">
        <f>PROPER(TRIM(Raw_Data!E127))</f>
        <v>Retail Store</v>
      </c>
      <c r="F127" t="str">
        <f>PROPER(TRIM(Raw_Data!F127))</f>
        <v>Enterprise</v>
      </c>
      <c r="G127" t="str">
        <f>PROPER(TRIM(Raw_Data!G127))</f>
        <v>Laptop</v>
      </c>
      <c r="H127" t="str">
        <f>PROPER(TRIM(Raw_Data!H127))</f>
        <v>Laptop Air 13</v>
      </c>
      <c r="I127">
        <f>IFERROR(MAX(0,VALUE(Raw_Data!I127)),0)</f>
        <v>8</v>
      </c>
      <c r="J127" s="13">
        <f>IFERROR(VALUE(Raw_Data!J127),0)</f>
        <v>71928</v>
      </c>
      <c r="K127" s="14">
        <f>IFERROR(VALUE(Raw_Data!K127),0)</f>
        <v>0</v>
      </c>
      <c r="L127" t="str">
        <f>PROPER(TRIM(Raw_Data!L127))</f>
        <v>Delivered</v>
      </c>
      <c r="M127" s="13">
        <f t="shared" si="8"/>
        <v>575424</v>
      </c>
      <c r="N127" s="13">
        <f t="shared" si="9"/>
        <v>0</v>
      </c>
      <c r="O127" s="13">
        <f t="shared" si="10"/>
        <v>575424</v>
      </c>
      <c r="P127" s="13">
        <f t="shared" si="11"/>
        <v>448830.72</v>
      </c>
      <c r="Q127" s="13">
        <f t="shared" si="12"/>
        <v>126593.28</v>
      </c>
      <c r="R127" s="10">
        <f t="shared" si="13"/>
        <v>0.22</v>
      </c>
      <c r="S127" t="str">
        <f t="shared" si="14"/>
        <v>Jul-2026</v>
      </c>
      <c r="T127" t="str">
        <f t="shared" si="15"/>
        <v>OK</v>
      </c>
    </row>
    <row r="128" spans="1:20">
      <c r="A128" t="str">
        <f>TRIM(Raw_Data!A128)</f>
        <v>ORD-10127</v>
      </c>
      <c r="B128" s="12">
        <f>IFERROR(IF(ISNUMBER(Raw_Data!B128),Raw_Data!B128,DATEVALUE(Raw_Data!B128)),"")</f>
        <v>46148</v>
      </c>
      <c r="C128" t="str">
        <f>PROPER(TRIM(Raw_Data!C128))</f>
        <v>Neha</v>
      </c>
      <c r="D128" t="str">
        <f>IF(TRIM(Raw_Data!D128)="Bangalore","Bengaluru",IF(TRIM(Raw_Data!D128)="Mysore","Mysuru",IF(TRIM(Raw_Data!D128)="Cochin","Kochi",PROPER(TRIM(Raw_Data!D128)))))</f>
        <v>Hyderabad</v>
      </c>
      <c r="E128" t="str">
        <f>PROPER(TRIM(Raw_Data!E128))</f>
        <v>Corporate</v>
      </c>
      <c r="F128" t="str">
        <f>PROPER(TRIM(Raw_Data!F128))</f>
        <v>Consumer</v>
      </c>
      <c r="G128" t="str">
        <f>PROPER(TRIM(Raw_Data!G128))</f>
        <v>Laptop</v>
      </c>
      <c r="H128" t="str">
        <f>PROPER(TRIM(Raw_Data!H128))</f>
        <v>Laptop Pro 14</v>
      </c>
      <c r="I128">
        <f>IFERROR(MAX(0,VALUE(Raw_Data!I128)),0)</f>
        <v>7</v>
      </c>
      <c r="J128" s="13">
        <f>IFERROR(VALUE(Raw_Data!J128),0)</f>
        <v>64692</v>
      </c>
      <c r="K128" s="14">
        <f>IFERROR(VALUE(Raw_Data!K128),0)</f>
        <v>0.1</v>
      </c>
      <c r="L128" t="str">
        <f>PROPER(TRIM(Raw_Data!L128))</f>
        <v>Returned</v>
      </c>
      <c r="M128" s="13">
        <f t="shared" si="8"/>
        <v>452844</v>
      </c>
      <c r="N128" s="13">
        <f t="shared" si="9"/>
        <v>45284.4</v>
      </c>
      <c r="O128" s="13">
        <f t="shared" si="10"/>
        <v>407559.6</v>
      </c>
      <c r="P128" s="13">
        <f t="shared" si="11"/>
        <v>353218.32</v>
      </c>
      <c r="Q128" s="13">
        <f t="shared" si="12"/>
        <v>54341.28</v>
      </c>
      <c r="R128" s="10">
        <f t="shared" si="13"/>
        <v>0.133333333333333</v>
      </c>
      <c r="S128" t="str">
        <f t="shared" si="14"/>
        <v>May-2026</v>
      </c>
      <c r="T128" t="str">
        <f t="shared" si="15"/>
        <v>OK</v>
      </c>
    </row>
    <row r="129" spans="1:20">
      <c r="A129" t="str">
        <f>TRIM(Raw_Data!A129)</f>
        <v>ORD-10128</v>
      </c>
      <c r="B129" s="12">
        <f>IFERROR(IF(ISNUMBER(Raw_Data!B129),Raw_Data!B129,DATEVALUE(Raw_Data!B129)),"")</f>
        <v>46030</v>
      </c>
      <c r="C129" t="str">
        <f>PROPER(TRIM(Raw_Data!C129))</f>
        <v>Neha</v>
      </c>
      <c r="D129" t="str">
        <f>IF(TRIM(Raw_Data!D129)="Bangalore","Bengaluru",IF(TRIM(Raw_Data!D129)="Mysore","Mysuru",IF(TRIM(Raw_Data!D129)="Cochin","Kochi",PROPER(TRIM(Raw_Data!D129)))))</f>
        <v>Pune</v>
      </c>
      <c r="E129" t="str">
        <f>PROPER(TRIM(Raw_Data!E129))</f>
        <v>Online</v>
      </c>
      <c r="F129" t="str">
        <f>PROPER(TRIM(Raw_Data!F129))</f>
        <v>Smb</v>
      </c>
      <c r="G129" t="str">
        <f>PROPER(TRIM(Raw_Data!G129))</f>
        <v>Monitor</v>
      </c>
      <c r="H129" t="str">
        <f>PROPER(TRIM(Raw_Data!H129))</f>
        <v>Monitor 24</v>
      </c>
      <c r="I129">
        <f>IFERROR(MAX(0,VALUE(Raw_Data!I129)),0)</f>
        <v>6</v>
      </c>
      <c r="J129" s="13">
        <f>IFERROR(VALUE(Raw_Data!J129),0)</f>
        <v>17175</v>
      </c>
      <c r="K129" s="14">
        <f>IFERROR(VALUE(Raw_Data!K129),0)</f>
        <v>0.15</v>
      </c>
      <c r="L129" t="str">
        <f>PROPER(TRIM(Raw_Data!L129))</f>
        <v>Delivered</v>
      </c>
      <c r="M129" s="13">
        <f t="shared" si="8"/>
        <v>103050</v>
      </c>
      <c r="N129" s="13">
        <f t="shared" si="9"/>
        <v>15457.5</v>
      </c>
      <c r="O129" s="13">
        <f t="shared" si="10"/>
        <v>87592.5</v>
      </c>
      <c r="P129" s="13">
        <f t="shared" si="11"/>
        <v>72135</v>
      </c>
      <c r="Q129" s="13">
        <f t="shared" si="12"/>
        <v>15457.5</v>
      </c>
      <c r="R129" s="10">
        <f t="shared" si="13"/>
        <v>0.176470588235294</v>
      </c>
      <c r="S129" t="str">
        <f t="shared" si="14"/>
        <v>Jan-2026</v>
      </c>
      <c r="T129" t="str">
        <f t="shared" si="15"/>
        <v>OK</v>
      </c>
    </row>
    <row r="130" spans="1:20">
      <c r="A130" t="str">
        <f>TRIM(Raw_Data!A130)</f>
        <v>ORD-10129</v>
      </c>
      <c r="B130" s="12">
        <f>IFERROR(IF(ISNUMBER(Raw_Data!B130),Raw_Data!B130,DATEVALUE(Raw_Data!B130)),"")</f>
        <v>46199</v>
      </c>
      <c r="C130" t="str">
        <f>PROPER(TRIM(Raw_Data!C130))</f>
        <v>Bhoomika</v>
      </c>
      <c r="D130" t="str">
        <f>IF(TRIM(Raw_Data!D130)="Bangalore","Bengaluru",IF(TRIM(Raw_Data!D130)="Mysore","Mysuru",IF(TRIM(Raw_Data!D130)="Cochin","Kochi",PROPER(TRIM(Raw_Data!D130)))))</f>
        <v>Bengaluru</v>
      </c>
      <c r="E130" t="str">
        <f>PROPER(TRIM(Raw_Data!E130))</f>
        <v>Corporate</v>
      </c>
      <c r="F130" t="str">
        <f>PROPER(TRIM(Raw_Data!F130))</f>
        <v>Smb</v>
      </c>
      <c r="G130" t="str">
        <f>PROPER(TRIM(Raw_Data!G130))</f>
        <v>Laptop</v>
      </c>
      <c r="H130" t="str">
        <f>PROPER(TRIM(Raw_Data!H130))</f>
        <v>Laptop Air 13</v>
      </c>
      <c r="I130">
        <f>IFERROR(MAX(0,VALUE(Raw_Data!I130)),0)</f>
        <v>4</v>
      </c>
      <c r="J130" s="13">
        <f>IFERROR(VALUE(Raw_Data!J130),0)</f>
        <v>70333</v>
      </c>
      <c r="K130" s="14">
        <f>IFERROR(VALUE(Raw_Data!K130),0)</f>
        <v>0.15</v>
      </c>
      <c r="L130" t="str">
        <f>PROPER(TRIM(Raw_Data!L130))</f>
        <v>Delivered</v>
      </c>
      <c r="M130" s="13">
        <f t="shared" ref="M130:M193" si="16">I130*J130</f>
        <v>281332</v>
      </c>
      <c r="N130" s="13">
        <f t="shared" ref="N130:N193" si="17">M130*K130</f>
        <v>42199.8</v>
      </c>
      <c r="O130" s="13">
        <f t="shared" ref="O130:O193" si="18">M130-N130</f>
        <v>239132.2</v>
      </c>
      <c r="P130" s="13">
        <f t="shared" ref="P130:P193" si="19">M130*IF(G130="Laptop",0.78,IF(G130="Monitor",0.7,IF(G130="Keyboard",0.58,IF(G130="Mouse",0.55,0.6))))</f>
        <v>219438.96</v>
      </c>
      <c r="Q130" s="13">
        <f t="shared" ref="Q130:Q193" si="20">O130-P130</f>
        <v>19693.24</v>
      </c>
      <c r="R130" s="10">
        <f t="shared" ref="R130:R193" si="21">IFERROR(Q130/O130,0)</f>
        <v>0.0823529411764705</v>
      </c>
      <c r="S130" t="str">
        <f t="shared" ref="S130:S193" si="22">IF(B130="","",TEXT(B130,"mmm-yyyy"))</f>
        <v>Jun-2026</v>
      </c>
      <c r="T130" t="str">
        <f t="shared" ref="T130:T193" si="23">IF(OR(A130="",B130="",I130&lt;=0,J130&lt;=0,L130=""),"CHECK","OK")</f>
        <v>OK</v>
      </c>
    </row>
    <row r="131" spans="1:20">
      <c r="A131" t="str">
        <f>TRIM(Raw_Data!A131)</f>
        <v>ORD-10130</v>
      </c>
      <c r="B131" s="12">
        <f>IFERROR(IF(ISNUMBER(Raw_Data!B131),Raw_Data!B131,DATEVALUE(Raw_Data!B131)),"")</f>
        <v>46252</v>
      </c>
      <c r="C131" t="str">
        <f>PROPER(TRIM(Raw_Data!C131))</f>
        <v>Arjun</v>
      </c>
      <c r="D131" t="str">
        <f>IF(TRIM(Raw_Data!D131)="Bangalore","Bengaluru",IF(TRIM(Raw_Data!D131)="Mysore","Mysuru",IF(TRIM(Raw_Data!D131)="Cochin","Kochi",PROPER(TRIM(Raw_Data!D131)))))</f>
        <v>Mysuru</v>
      </c>
      <c r="E131" t="str">
        <f>PROPER(TRIM(Raw_Data!E131))</f>
        <v>Retail Store</v>
      </c>
      <c r="F131" t="str">
        <f>PROPER(TRIM(Raw_Data!F131))</f>
        <v>Smb</v>
      </c>
      <c r="G131" t="str">
        <f>PROPER(TRIM(Raw_Data!G131))</f>
        <v>Mouse</v>
      </c>
      <c r="H131" t="str">
        <f>PROPER(TRIM(Raw_Data!H131))</f>
        <v>Mouse Ergonomic</v>
      </c>
      <c r="I131">
        <f>IFERROR(MAX(0,VALUE(Raw_Data!I131)),0)</f>
        <v>7</v>
      </c>
      <c r="J131" s="13">
        <f>IFERROR(VALUE(Raw_Data!J131),0)</f>
        <v>1937</v>
      </c>
      <c r="K131" s="14">
        <f>IFERROR(VALUE(Raw_Data!K131),0)</f>
        <v>0.1</v>
      </c>
      <c r="L131" t="str">
        <f>PROPER(TRIM(Raw_Data!L131))</f>
        <v>Delivered</v>
      </c>
      <c r="M131" s="13">
        <f t="shared" si="16"/>
        <v>13559</v>
      </c>
      <c r="N131" s="13">
        <f t="shared" si="17"/>
        <v>1355.9</v>
      </c>
      <c r="O131" s="13">
        <f t="shared" si="18"/>
        <v>12203.1</v>
      </c>
      <c r="P131" s="13">
        <f t="shared" si="19"/>
        <v>7457.45</v>
      </c>
      <c r="Q131" s="13">
        <f t="shared" si="20"/>
        <v>4745.65</v>
      </c>
      <c r="R131" s="10">
        <f t="shared" si="21"/>
        <v>0.388888888888889</v>
      </c>
      <c r="S131" t="str">
        <f t="shared" si="22"/>
        <v>Aug-2026</v>
      </c>
      <c r="T131" t="str">
        <f t="shared" si="23"/>
        <v>OK</v>
      </c>
    </row>
    <row r="132" spans="1:20">
      <c r="A132" t="str">
        <f>TRIM(Raw_Data!A132)</f>
        <v>ORD-10131</v>
      </c>
      <c r="B132" s="12">
        <f>IFERROR(IF(ISNUMBER(Raw_Data!B132),Raw_Data!B132,DATEVALUE(Raw_Data!B132)),"")</f>
        <v>46061</v>
      </c>
      <c r="C132" t="str">
        <f>PROPER(TRIM(Raw_Data!C132))</f>
        <v>Bhoomika</v>
      </c>
      <c r="D132" t="str">
        <f>IF(TRIM(Raw_Data!D132)="Bangalore","Bengaluru",IF(TRIM(Raw_Data!D132)="Mysore","Mysuru",IF(TRIM(Raw_Data!D132)="Cochin","Kochi",PROPER(TRIM(Raw_Data!D132)))))</f>
        <v>Bengaluru</v>
      </c>
      <c r="E132" t="str">
        <f>PROPER(TRIM(Raw_Data!E132))</f>
        <v>Corporate</v>
      </c>
      <c r="F132" t="str">
        <f>PROPER(TRIM(Raw_Data!F132))</f>
        <v>Consumer</v>
      </c>
      <c r="G132" t="str">
        <f>PROPER(TRIM(Raw_Data!G132))</f>
        <v>Headset</v>
      </c>
      <c r="H132" t="str">
        <f>PROPER(TRIM(Raw_Data!H132))</f>
        <v>Headset Pro</v>
      </c>
      <c r="I132">
        <f>IFERROR(MAX(0,VALUE(Raw_Data!I132)),0)</f>
        <v>1</v>
      </c>
      <c r="J132" s="13">
        <f>IFERROR(VALUE(Raw_Data!J132),0)</f>
        <v>2646</v>
      </c>
      <c r="K132" s="14">
        <f>IFERROR(VALUE(Raw_Data!K132),0)</f>
        <v>0.15</v>
      </c>
      <c r="L132" t="str">
        <f>PROPER(TRIM(Raw_Data!L132))</f>
        <v>Pending</v>
      </c>
      <c r="M132" s="13">
        <f t="shared" si="16"/>
        <v>2646</v>
      </c>
      <c r="N132" s="13">
        <f t="shared" si="17"/>
        <v>396.9</v>
      </c>
      <c r="O132" s="13">
        <f t="shared" si="18"/>
        <v>2249.1</v>
      </c>
      <c r="P132" s="13">
        <f t="shared" si="19"/>
        <v>1587.6</v>
      </c>
      <c r="Q132" s="13">
        <f t="shared" si="20"/>
        <v>661.5</v>
      </c>
      <c r="R132" s="10">
        <f t="shared" si="21"/>
        <v>0.294117647058824</v>
      </c>
      <c r="S132" t="str">
        <f t="shared" si="22"/>
        <v>Feb-2026</v>
      </c>
      <c r="T132" t="str">
        <f t="shared" si="23"/>
        <v>OK</v>
      </c>
    </row>
    <row r="133" spans="1:20">
      <c r="A133" t="str">
        <f>TRIM(Raw_Data!A133)</f>
        <v>ORD-10132</v>
      </c>
      <c r="B133" s="12">
        <f>IFERROR(IF(ISNUMBER(Raw_Data!B133),Raw_Data!B133,DATEVALUE(Raw_Data!B133)),"")</f>
        <v>46099</v>
      </c>
      <c r="C133" t="str">
        <f>PROPER(TRIM(Raw_Data!C133))</f>
        <v>Meghana</v>
      </c>
      <c r="D133" t="str">
        <f>IF(TRIM(Raw_Data!D133)="Bangalore","Bengaluru",IF(TRIM(Raw_Data!D133)="Mysore","Mysuru",IF(TRIM(Raw_Data!D133)="Cochin","Kochi",PROPER(TRIM(Raw_Data!D133)))))</f>
        <v>Hyderabad</v>
      </c>
      <c r="E133" t="str">
        <f>PROPER(TRIM(Raw_Data!E133))</f>
        <v>Retail Store</v>
      </c>
      <c r="F133" t="str">
        <f>PROPER(TRIM(Raw_Data!F133))</f>
        <v>Enterprise</v>
      </c>
      <c r="G133" t="str">
        <f>PROPER(TRIM(Raw_Data!G133))</f>
        <v>Monitor</v>
      </c>
      <c r="H133" t="str">
        <f>PROPER(TRIM(Raw_Data!H133))</f>
        <v>Monitor 32</v>
      </c>
      <c r="I133">
        <f>IFERROR(MAX(0,VALUE(Raw_Data!I133)),0)</f>
        <v>3</v>
      </c>
      <c r="J133" s="13">
        <f>IFERROR(VALUE(Raw_Data!J133),0)</f>
        <v>12198</v>
      </c>
      <c r="K133" s="14">
        <f>IFERROR(VALUE(Raw_Data!K133),0)</f>
        <v>0.15</v>
      </c>
      <c r="L133" t="str">
        <f>PROPER(TRIM(Raw_Data!L133))</f>
        <v>Delivered</v>
      </c>
      <c r="M133" s="13">
        <f t="shared" si="16"/>
        <v>36594</v>
      </c>
      <c r="N133" s="13">
        <f t="shared" si="17"/>
        <v>5489.1</v>
      </c>
      <c r="O133" s="13">
        <f t="shared" si="18"/>
        <v>31104.9</v>
      </c>
      <c r="P133" s="13">
        <f t="shared" si="19"/>
        <v>25615.8</v>
      </c>
      <c r="Q133" s="13">
        <f t="shared" si="20"/>
        <v>5489.1</v>
      </c>
      <c r="R133" s="10">
        <f t="shared" si="21"/>
        <v>0.176470588235294</v>
      </c>
      <c r="S133" t="str">
        <f t="shared" si="22"/>
        <v>Mar-2026</v>
      </c>
      <c r="T133" t="str">
        <f t="shared" si="23"/>
        <v>OK</v>
      </c>
    </row>
    <row r="134" spans="1:20">
      <c r="A134" t="str">
        <f>TRIM(Raw_Data!A134)</f>
        <v>ORD-10133</v>
      </c>
      <c r="B134" s="12">
        <f>IFERROR(IF(ISNUMBER(Raw_Data!B134),Raw_Data!B134,DATEVALUE(Raw_Data!B134)),"")</f>
        <v>46072</v>
      </c>
      <c r="C134" t="str">
        <f>PROPER(TRIM(Raw_Data!C134))</f>
        <v>Neha</v>
      </c>
      <c r="D134" t="str">
        <f>IF(TRIM(Raw_Data!D134)="Bangalore","Bengaluru",IF(TRIM(Raw_Data!D134)="Mysore","Mysuru",IF(TRIM(Raw_Data!D134)="Cochin","Kochi",PROPER(TRIM(Raw_Data!D134)))))</f>
        <v>Kochi</v>
      </c>
      <c r="E134" t="str">
        <f>PROPER(TRIM(Raw_Data!E134))</f>
        <v>Online</v>
      </c>
      <c r="F134" t="str">
        <f>PROPER(TRIM(Raw_Data!F134))</f>
        <v>Enterprise</v>
      </c>
      <c r="G134" t="str">
        <f>PROPER(TRIM(Raw_Data!G134))</f>
        <v>Headset</v>
      </c>
      <c r="H134" t="str">
        <f>PROPER(TRIM(Raw_Data!H134))</f>
        <v>Headset Pro</v>
      </c>
      <c r="I134">
        <f>IFERROR(MAX(0,VALUE(Raw_Data!I134)),0)</f>
        <v>3</v>
      </c>
      <c r="J134" s="13">
        <f>IFERROR(VALUE(Raw_Data!J134),0)</f>
        <v>2735</v>
      </c>
      <c r="K134" s="14">
        <f>IFERROR(VALUE(Raw_Data!K134),0)</f>
        <v>0.02</v>
      </c>
      <c r="L134" t="str">
        <f>PROPER(TRIM(Raw_Data!L134))</f>
        <v>Delivered</v>
      </c>
      <c r="M134" s="13">
        <f t="shared" si="16"/>
        <v>8205</v>
      </c>
      <c r="N134" s="13">
        <f t="shared" si="17"/>
        <v>164.1</v>
      </c>
      <c r="O134" s="13">
        <f t="shared" si="18"/>
        <v>8040.9</v>
      </c>
      <c r="P134" s="13">
        <f t="shared" si="19"/>
        <v>4923</v>
      </c>
      <c r="Q134" s="13">
        <f t="shared" si="20"/>
        <v>3117.9</v>
      </c>
      <c r="R134" s="10">
        <f t="shared" si="21"/>
        <v>0.387755102040816</v>
      </c>
      <c r="S134" t="str">
        <f t="shared" si="22"/>
        <v>Feb-2026</v>
      </c>
      <c r="T134" t="str">
        <f t="shared" si="23"/>
        <v>OK</v>
      </c>
    </row>
    <row r="135" spans="1:20">
      <c r="A135" t="str">
        <f>TRIM(Raw_Data!A135)</f>
        <v>ORD-10134</v>
      </c>
      <c r="B135" s="12">
        <f>IFERROR(IF(ISNUMBER(Raw_Data!B135),Raw_Data!B135,DATEVALUE(Raw_Data!B135)),"")</f>
        <v>46224</v>
      </c>
      <c r="C135" t="str">
        <f>PROPER(TRIM(Raw_Data!C135))</f>
        <v>Arjun</v>
      </c>
      <c r="D135" t="str">
        <f>IF(TRIM(Raw_Data!D135)="Bangalore","Bengaluru",IF(TRIM(Raw_Data!D135)="Mysore","Mysuru",IF(TRIM(Raw_Data!D135)="Cochin","Kochi",PROPER(TRIM(Raw_Data!D135)))))</f>
        <v>Kochi</v>
      </c>
      <c r="E135" t="str">
        <f>PROPER(TRIM(Raw_Data!E135))</f>
        <v>Corporate</v>
      </c>
      <c r="F135" t="str">
        <f>PROPER(TRIM(Raw_Data!F135))</f>
        <v>Consumer</v>
      </c>
      <c r="G135" t="str">
        <f>PROPER(TRIM(Raw_Data!G135))</f>
        <v>Laptop</v>
      </c>
      <c r="H135" t="str">
        <f>PROPER(TRIM(Raw_Data!H135))</f>
        <v>Laptop Pro 14</v>
      </c>
      <c r="I135">
        <f>IFERROR(MAX(0,VALUE(Raw_Data!I135)),0)</f>
        <v>1</v>
      </c>
      <c r="J135" s="13">
        <f>IFERROR(VALUE(Raw_Data!J135),0)</f>
        <v>73141</v>
      </c>
      <c r="K135" s="14">
        <f>IFERROR(VALUE(Raw_Data!K135),0)</f>
        <v>0</v>
      </c>
      <c r="L135" t="str">
        <f>PROPER(TRIM(Raw_Data!L135))</f>
        <v>Cancelled</v>
      </c>
      <c r="M135" s="13">
        <f t="shared" si="16"/>
        <v>73141</v>
      </c>
      <c r="N135" s="13">
        <f t="shared" si="17"/>
        <v>0</v>
      </c>
      <c r="O135" s="13">
        <f t="shared" si="18"/>
        <v>73141</v>
      </c>
      <c r="P135" s="13">
        <f t="shared" si="19"/>
        <v>57049.98</v>
      </c>
      <c r="Q135" s="13">
        <f t="shared" si="20"/>
        <v>16091.02</v>
      </c>
      <c r="R135" s="10">
        <f t="shared" si="21"/>
        <v>0.22</v>
      </c>
      <c r="S135" t="str">
        <f t="shared" si="22"/>
        <v>Jul-2026</v>
      </c>
      <c r="T135" t="str">
        <f t="shared" si="23"/>
        <v>OK</v>
      </c>
    </row>
    <row r="136" spans="1:20">
      <c r="A136" t="str">
        <f>TRIM(Raw_Data!A136)</f>
        <v>ORD-10135</v>
      </c>
      <c r="B136" s="12" t="str">
        <f>IFERROR(IF(ISNUMBER(Raw_Data!B136),Raw_Data!B136,DATEVALUE(Raw_Data!B136)),"")</f>
        <v/>
      </c>
      <c r="C136" t="str">
        <f>PROPER(TRIM(Raw_Data!C136))</f>
        <v>Meghana</v>
      </c>
      <c r="D136" t="str">
        <f>IF(TRIM(Raw_Data!D136)="Bangalore","Bengaluru",IF(TRIM(Raw_Data!D136)="Mysore","Mysuru",IF(TRIM(Raw_Data!D136)="Cochin","Kochi",PROPER(TRIM(Raw_Data!D136)))))</f>
        <v>Mysuru</v>
      </c>
      <c r="E136" t="str">
        <f>PROPER(TRIM(Raw_Data!E136))</f>
        <v>Retail Store</v>
      </c>
      <c r="F136" t="str">
        <f>PROPER(TRIM(Raw_Data!F136))</f>
        <v>Smb</v>
      </c>
      <c r="G136" t="str">
        <f>PROPER(TRIM(Raw_Data!G136))</f>
        <v>Keyboard</v>
      </c>
      <c r="H136" t="str">
        <f>PROPER(TRIM(Raw_Data!H136))</f>
        <v>Keyboard Mechanical</v>
      </c>
      <c r="I136">
        <f>IFERROR(MAX(0,VALUE(Raw_Data!I136)),0)</f>
        <v>3</v>
      </c>
      <c r="J136" s="13">
        <f>IFERROR(VALUE(Raw_Data!J136),0)</f>
        <v>3967</v>
      </c>
      <c r="K136" s="14">
        <f>IFERROR(VALUE(Raw_Data!K136),0)</f>
        <v>0.05</v>
      </c>
      <c r="L136" t="str">
        <f>PROPER(TRIM(Raw_Data!L136))</f>
        <v>Pending</v>
      </c>
      <c r="M136" s="13">
        <f t="shared" si="16"/>
        <v>11901</v>
      </c>
      <c r="N136" s="13">
        <f t="shared" si="17"/>
        <v>595.05</v>
      </c>
      <c r="O136" s="13">
        <f t="shared" si="18"/>
        <v>11305.95</v>
      </c>
      <c r="P136" s="13">
        <f t="shared" si="19"/>
        <v>6902.58</v>
      </c>
      <c r="Q136" s="13">
        <f t="shared" si="20"/>
        <v>4403.37</v>
      </c>
      <c r="R136" s="10">
        <f t="shared" si="21"/>
        <v>0.389473684210526</v>
      </c>
      <c r="S136" t="str">
        <f t="shared" si="22"/>
        <v/>
      </c>
      <c r="T136" t="str">
        <f t="shared" si="23"/>
        <v>CHECK</v>
      </c>
    </row>
    <row r="137" spans="1:20">
      <c r="A137" t="str">
        <f>TRIM(Raw_Data!A137)</f>
        <v>ORD-10136</v>
      </c>
      <c r="B137" s="12">
        <f>IFERROR(IF(ISNUMBER(Raw_Data!B137),Raw_Data!B137,DATEVALUE(Raw_Data!B137)),"")</f>
        <v>46186</v>
      </c>
      <c r="C137" t="str">
        <f>PROPER(TRIM(Raw_Data!C137))</f>
        <v>Kiran</v>
      </c>
      <c r="D137" t="str">
        <f>IF(TRIM(Raw_Data!D137)="Bangalore","Bengaluru",IF(TRIM(Raw_Data!D137)="Mysore","Mysuru",IF(TRIM(Raw_Data!D137)="Cochin","Kochi",PROPER(TRIM(Raw_Data!D137)))))</f>
        <v>Bengaluru</v>
      </c>
      <c r="E137" t="str">
        <f>PROPER(TRIM(Raw_Data!E137))</f>
        <v>Corporate</v>
      </c>
      <c r="F137" t="str">
        <f>PROPER(TRIM(Raw_Data!F137))</f>
        <v>Consumer</v>
      </c>
      <c r="G137" t="str">
        <f>PROPER(TRIM(Raw_Data!G137))</f>
        <v>Keyboard</v>
      </c>
      <c r="H137" t="str">
        <f>PROPER(TRIM(Raw_Data!H137))</f>
        <v>Keyboard Office</v>
      </c>
      <c r="I137">
        <f>IFERROR(MAX(0,VALUE(Raw_Data!I137)),0)</f>
        <v>1</v>
      </c>
      <c r="J137" s="13">
        <f>IFERROR(VALUE(Raw_Data!J137),0)</f>
        <v>2085</v>
      </c>
      <c r="K137" s="14">
        <f>IFERROR(VALUE(Raw_Data!K137),0)</f>
        <v>0.15</v>
      </c>
      <c r="L137" t="str">
        <f>PROPER(TRIM(Raw_Data!L137))</f>
        <v>Delivered</v>
      </c>
      <c r="M137" s="13">
        <f t="shared" si="16"/>
        <v>2085</v>
      </c>
      <c r="N137" s="13">
        <f t="shared" si="17"/>
        <v>312.75</v>
      </c>
      <c r="O137" s="13">
        <f t="shared" si="18"/>
        <v>1772.25</v>
      </c>
      <c r="P137" s="13">
        <f t="shared" si="19"/>
        <v>1209.3</v>
      </c>
      <c r="Q137" s="13">
        <f t="shared" si="20"/>
        <v>562.95</v>
      </c>
      <c r="R137" s="10">
        <f t="shared" si="21"/>
        <v>0.317647058823529</v>
      </c>
      <c r="S137" t="str">
        <f t="shared" si="22"/>
        <v>Jun-2026</v>
      </c>
      <c r="T137" t="str">
        <f t="shared" si="23"/>
        <v>OK</v>
      </c>
    </row>
    <row r="138" spans="1:20">
      <c r="A138" t="str">
        <f>TRIM(Raw_Data!A138)</f>
        <v>ORD-10137</v>
      </c>
      <c r="B138" s="12" t="str">
        <f>IFERROR(IF(ISNUMBER(Raw_Data!B138),Raw_Data!B138,DATEVALUE(Raw_Data!B138)),"")</f>
        <v/>
      </c>
      <c r="C138" t="str">
        <f>PROPER(TRIM(Raw_Data!C138))</f>
        <v>Arjun</v>
      </c>
      <c r="D138" t="str">
        <f>IF(TRIM(Raw_Data!D138)="Bangalore","Bengaluru",IF(TRIM(Raw_Data!D138)="Mysore","Mysuru",IF(TRIM(Raw_Data!D138)="Cochin","Kochi",PROPER(TRIM(Raw_Data!D138)))))</f>
        <v>Chennai</v>
      </c>
      <c r="E138" t="str">
        <f>PROPER(TRIM(Raw_Data!E138))</f>
        <v>Online</v>
      </c>
      <c r="F138" t="str">
        <f>PROPER(TRIM(Raw_Data!F138))</f>
        <v>Smb</v>
      </c>
      <c r="G138" t="str">
        <f>PROPER(TRIM(Raw_Data!G138))</f>
        <v>Headset</v>
      </c>
      <c r="H138" t="str">
        <f>PROPER(TRIM(Raw_Data!H138))</f>
        <v>Headset Office</v>
      </c>
      <c r="I138">
        <f>IFERROR(MAX(0,VALUE(Raw_Data!I138)),0)</f>
        <v>4</v>
      </c>
      <c r="J138" s="13">
        <f>IFERROR(VALUE(Raw_Data!J138),0)</f>
        <v>3127</v>
      </c>
      <c r="K138" s="14">
        <f>IFERROR(VALUE(Raw_Data!K138),0)</f>
        <v>0.05</v>
      </c>
      <c r="L138" t="str">
        <f>PROPER(TRIM(Raw_Data!L138))</f>
        <v>Cancelled</v>
      </c>
      <c r="M138" s="13">
        <f t="shared" si="16"/>
        <v>12508</v>
      </c>
      <c r="N138" s="13">
        <f t="shared" si="17"/>
        <v>625.4</v>
      </c>
      <c r="O138" s="13">
        <f t="shared" si="18"/>
        <v>11882.6</v>
      </c>
      <c r="P138" s="13">
        <f t="shared" si="19"/>
        <v>7504.8</v>
      </c>
      <c r="Q138" s="13">
        <f t="shared" si="20"/>
        <v>4377.8</v>
      </c>
      <c r="R138" s="10">
        <f t="shared" si="21"/>
        <v>0.368421052631579</v>
      </c>
      <c r="S138" t="str">
        <f t="shared" si="22"/>
        <v/>
      </c>
      <c r="T138" t="str">
        <f t="shared" si="23"/>
        <v>CHECK</v>
      </c>
    </row>
    <row r="139" spans="1:20">
      <c r="A139" t="str">
        <f>TRIM(Raw_Data!A139)</f>
        <v>ORD-10138</v>
      </c>
      <c r="B139" s="12">
        <f>IFERROR(IF(ISNUMBER(Raw_Data!B139),Raw_Data!B139,DATEVALUE(Raw_Data!B139)),"")</f>
        <v>46046</v>
      </c>
      <c r="C139" t="str">
        <f>PROPER(TRIM(Raw_Data!C139))</f>
        <v>Asha</v>
      </c>
      <c r="D139" t="str">
        <f>IF(TRIM(Raw_Data!D139)="Bangalore","Bengaluru",IF(TRIM(Raw_Data!D139)="Mysore","Mysuru",IF(TRIM(Raw_Data!D139)="Cochin","Kochi",PROPER(TRIM(Raw_Data!D139)))))</f>
        <v>Chennai</v>
      </c>
      <c r="E139" t="str">
        <f>PROPER(TRIM(Raw_Data!E139))</f>
        <v>Corporate</v>
      </c>
      <c r="F139" t="str">
        <f>PROPER(TRIM(Raw_Data!F139))</f>
        <v>Consumer</v>
      </c>
      <c r="G139" t="str">
        <f>PROPER(TRIM(Raw_Data!G139))</f>
        <v>Headset</v>
      </c>
      <c r="H139" t="str">
        <f>PROPER(TRIM(Raw_Data!H139))</f>
        <v>Headset Pro</v>
      </c>
      <c r="I139">
        <f>IFERROR(MAX(0,VALUE(Raw_Data!I139)),0)</f>
        <v>8</v>
      </c>
      <c r="J139" s="13">
        <f>IFERROR(VALUE(Raw_Data!J139),0)</f>
        <v>3663</v>
      </c>
      <c r="K139" s="14">
        <f>IFERROR(VALUE(Raw_Data!K139),0)</f>
        <v>0</v>
      </c>
      <c r="L139" t="str">
        <f>PROPER(TRIM(Raw_Data!L139))</f>
        <v>Delivered</v>
      </c>
      <c r="M139" s="13">
        <f t="shared" si="16"/>
        <v>29304</v>
      </c>
      <c r="N139" s="13">
        <f t="shared" si="17"/>
        <v>0</v>
      </c>
      <c r="O139" s="13">
        <f t="shared" si="18"/>
        <v>29304</v>
      </c>
      <c r="P139" s="13">
        <f t="shared" si="19"/>
        <v>17582.4</v>
      </c>
      <c r="Q139" s="13">
        <f t="shared" si="20"/>
        <v>11721.6</v>
      </c>
      <c r="R139" s="10">
        <f t="shared" si="21"/>
        <v>0.4</v>
      </c>
      <c r="S139" t="str">
        <f t="shared" si="22"/>
        <v>Jan-2026</v>
      </c>
      <c r="T139" t="str">
        <f t="shared" si="23"/>
        <v>OK</v>
      </c>
    </row>
    <row r="140" spans="1:20">
      <c r="A140" t="str">
        <f>TRIM(Raw_Data!A140)</f>
        <v>ORD-10139</v>
      </c>
      <c r="B140" s="12">
        <f>IFERROR(IF(ISNUMBER(Raw_Data!B140),Raw_Data!B140,DATEVALUE(Raw_Data!B140)),"")</f>
        <v>46210</v>
      </c>
      <c r="C140" t="str">
        <f>PROPER(TRIM(Raw_Data!C140))</f>
        <v>Kiran</v>
      </c>
      <c r="D140" t="str">
        <f>IF(TRIM(Raw_Data!D140)="Bangalore","Bengaluru",IF(TRIM(Raw_Data!D140)="Mysore","Mysuru",IF(TRIM(Raw_Data!D140)="Cochin","Kochi",PROPER(TRIM(Raw_Data!D140)))))</f>
        <v>Delhi</v>
      </c>
      <c r="E140" t="str">
        <f>PROPER(TRIM(Raw_Data!E140))</f>
        <v>Online</v>
      </c>
      <c r="F140" t="str">
        <f>PROPER(TRIM(Raw_Data!F140))</f>
        <v>Consumer</v>
      </c>
      <c r="G140" t="str">
        <f>PROPER(TRIM(Raw_Data!G140))</f>
        <v>Laptop</v>
      </c>
      <c r="H140" t="str">
        <f>PROPER(TRIM(Raw_Data!H140))</f>
        <v>Laptop Air 13</v>
      </c>
      <c r="I140">
        <f>IFERROR(MAX(0,VALUE(Raw_Data!I140)),0)</f>
        <v>5</v>
      </c>
      <c r="J140" s="13">
        <f>IFERROR(VALUE(Raw_Data!J140),0)</f>
        <v>56984</v>
      </c>
      <c r="K140" s="14">
        <f>IFERROR(VALUE(Raw_Data!K140),0)</f>
        <v>0.08</v>
      </c>
      <c r="L140" t="str">
        <f>PROPER(TRIM(Raw_Data!L140))</f>
        <v>Returned</v>
      </c>
      <c r="M140" s="13">
        <f t="shared" si="16"/>
        <v>284920</v>
      </c>
      <c r="N140" s="13">
        <f t="shared" si="17"/>
        <v>22793.6</v>
      </c>
      <c r="O140" s="13">
        <f t="shared" si="18"/>
        <v>262126.4</v>
      </c>
      <c r="P140" s="13">
        <f t="shared" si="19"/>
        <v>222237.6</v>
      </c>
      <c r="Q140" s="13">
        <f t="shared" si="20"/>
        <v>39888.8</v>
      </c>
      <c r="R140" s="10">
        <f t="shared" si="21"/>
        <v>0.152173913043478</v>
      </c>
      <c r="S140" t="str">
        <f t="shared" si="22"/>
        <v>Jul-2026</v>
      </c>
      <c r="T140" t="str">
        <f t="shared" si="23"/>
        <v>OK</v>
      </c>
    </row>
    <row r="141" spans="1:20">
      <c r="A141" t="str">
        <f>TRIM(Raw_Data!A141)</f>
        <v>ORD-10140</v>
      </c>
      <c r="B141" s="12">
        <f>IFERROR(IF(ISNUMBER(Raw_Data!B141),Raw_Data!B141,DATEVALUE(Raw_Data!B141)),"")</f>
        <v>46179</v>
      </c>
      <c r="C141" t="str">
        <f>PROPER(TRIM(Raw_Data!C141))</f>
        <v>Asha</v>
      </c>
      <c r="D141" t="str">
        <f>IF(TRIM(Raw_Data!D141)="Bangalore","Bengaluru",IF(TRIM(Raw_Data!D141)="Mysore","Mysuru",IF(TRIM(Raw_Data!D141)="Cochin","Kochi",PROPER(TRIM(Raw_Data!D141)))))</f>
        <v>Hyderabad</v>
      </c>
      <c r="E141" t="str">
        <f>PROPER(TRIM(Raw_Data!E141))</f>
        <v>Corporate</v>
      </c>
      <c r="F141" t="str">
        <f>PROPER(TRIM(Raw_Data!F141))</f>
        <v>Consumer</v>
      </c>
      <c r="G141" t="str">
        <f>PROPER(TRIM(Raw_Data!G141))</f>
        <v>Laptop</v>
      </c>
      <c r="H141" t="str">
        <f>PROPER(TRIM(Raw_Data!H141))</f>
        <v>Business Laptop 15</v>
      </c>
      <c r="I141">
        <f>IFERROR(MAX(0,VALUE(Raw_Data!I141)),0)</f>
        <v>1</v>
      </c>
      <c r="J141" s="13">
        <f>IFERROR(VALUE(Raw_Data!J141),0)</f>
        <v>76659</v>
      </c>
      <c r="K141" s="14">
        <f>IFERROR(VALUE(Raw_Data!K141),0)</f>
        <v>0</v>
      </c>
      <c r="L141" t="str">
        <f>PROPER(TRIM(Raw_Data!L141))</f>
        <v>Delivered</v>
      </c>
      <c r="M141" s="13">
        <f t="shared" si="16"/>
        <v>76659</v>
      </c>
      <c r="N141" s="13">
        <f t="shared" si="17"/>
        <v>0</v>
      </c>
      <c r="O141" s="13">
        <f t="shared" si="18"/>
        <v>76659</v>
      </c>
      <c r="P141" s="13">
        <f t="shared" si="19"/>
        <v>59794.02</v>
      </c>
      <c r="Q141" s="13">
        <f t="shared" si="20"/>
        <v>16864.98</v>
      </c>
      <c r="R141" s="10">
        <f t="shared" si="21"/>
        <v>0.22</v>
      </c>
      <c r="S141" t="str">
        <f t="shared" si="22"/>
        <v>Jun-2026</v>
      </c>
      <c r="T141" t="str">
        <f t="shared" si="23"/>
        <v>OK</v>
      </c>
    </row>
    <row r="142" spans="1:20">
      <c r="A142" t="str">
        <f>TRIM(Raw_Data!A142)</f>
        <v>ORD-10141</v>
      </c>
      <c r="B142" s="12">
        <f>IFERROR(IF(ISNUMBER(Raw_Data!B142),Raw_Data!B142,DATEVALUE(Raw_Data!B142)),"")</f>
        <v>46187</v>
      </c>
      <c r="C142" t="str">
        <f>PROPER(TRIM(Raw_Data!C142))</f>
        <v>Arjun</v>
      </c>
      <c r="D142" t="str">
        <f>IF(TRIM(Raw_Data!D142)="Bangalore","Bengaluru",IF(TRIM(Raw_Data!D142)="Mysore","Mysuru",IF(TRIM(Raw_Data!D142)="Cochin","Kochi",PROPER(TRIM(Raw_Data!D142)))))</f>
        <v>Bengaluru</v>
      </c>
      <c r="E142" t="str">
        <f>PROPER(TRIM(Raw_Data!E142))</f>
        <v>Online</v>
      </c>
      <c r="F142" t="str">
        <f>PROPER(TRIM(Raw_Data!F142))</f>
        <v>Enterprise</v>
      </c>
      <c r="G142" t="str">
        <f>PROPER(TRIM(Raw_Data!G142))</f>
        <v>Mouse</v>
      </c>
      <c r="H142" t="str">
        <f>PROPER(TRIM(Raw_Data!H142))</f>
        <v>Mouse Wireless</v>
      </c>
      <c r="I142">
        <f>IFERROR(MAX(0,VALUE(Raw_Data!I142)),0)</f>
        <v>3</v>
      </c>
      <c r="J142" s="13">
        <f>IFERROR(VALUE(Raw_Data!J142),0)</f>
        <v>2622</v>
      </c>
      <c r="K142" s="14">
        <f>IFERROR(VALUE(Raw_Data!K142),0)</f>
        <v>0</v>
      </c>
      <c r="L142" t="str">
        <f>PROPER(TRIM(Raw_Data!L142))</f>
        <v>Pending</v>
      </c>
      <c r="M142" s="13">
        <f t="shared" si="16"/>
        <v>7866</v>
      </c>
      <c r="N142" s="13">
        <f t="shared" si="17"/>
        <v>0</v>
      </c>
      <c r="O142" s="13">
        <f t="shared" si="18"/>
        <v>7866</v>
      </c>
      <c r="P142" s="13">
        <f t="shared" si="19"/>
        <v>4326.3</v>
      </c>
      <c r="Q142" s="13">
        <f t="shared" si="20"/>
        <v>3539.7</v>
      </c>
      <c r="R142" s="10">
        <f t="shared" si="21"/>
        <v>0.45</v>
      </c>
      <c r="S142" t="str">
        <f t="shared" si="22"/>
        <v>Jun-2026</v>
      </c>
      <c r="T142" t="str">
        <f t="shared" si="23"/>
        <v>OK</v>
      </c>
    </row>
    <row r="143" spans="1:20">
      <c r="A143" t="str">
        <f>TRIM(Raw_Data!A143)</f>
        <v>ORD-10142</v>
      </c>
      <c r="B143" s="12">
        <f>IFERROR(IF(ISNUMBER(Raw_Data!B143),Raw_Data!B143,DATEVALUE(Raw_Data!B143)),"")</f>
        <v>46213</v>
      </c>
      <c r="C143" t="str">
        <f>PROPER(TRIM(Raw_Data!C143))</f>
        <v>Neha</v>
      </c>
      <c r="D143" t="str">
        <f>IF(TRIM(Raw_Data!D143)="Bangalore","Bengaluru",IF(TRIM(Raw_Data!D143)="Mysore","Mysuru",IF(TRIM(Raw_Data!D143)="Cochin","Kochi",PROPER(TRIM(Raw_Data!D143)))))</f>
        <v>Kochi</v>
      </c>
      <c r="E143" t="str">
        <f>PROPER(TRIM(Raw_Data!E143))</f>
        <v>Online</v>
      </c>
      <c r="F143" t="str">
        <f>PROPER(TRIM(Raw_Data!F143))</f>
        <v>Enterprise</v>
      </c>
      <c r="G143" t="str">
        <f>PROPER(TRIM(Raw_Data!G143))</f>
        <v>Laptop</v>
      </c>
      <c r="H143" t="str">
        <f>PROPER(TRIM(Raw_Data!H143))</f>
        <v>Laptop Pro 14</v>
      </c>
      <c r="I143">
        <f>IFERROR(MAX(0,VALUE(Raw_Data!I143)),0)</f>
        <v>5</v>
      </c>
      <c r="J143" s="13">
        <f>IFERROR(VALUE(Raw_Data!J143),0)</f>
        <v>0</v>
      </c>
      <c r="K143" s="14">
        <f>IFERROR(VALUE(Raw_Data!K143),0)</f>
        <v>0.1</v>
      </c>
      <c r="L143" t="str">
        <f>PROPER(TRIM(Raw_Data!L143))</f>
        <v>Cancelled</v>
      </c>
      <c r="M143" s="13">
        <f t="shared" si="16"/>
        <v>0</v>
      </c>
      <c r="N143" s="13">
        <f t="shared" si="17"/>
        <v>0</v>
      </c>
      <c r="O143" s="13">
        <f t="shared" si="18"/>
        <v>0</v>
      </c>
      <c r="P143" s="13">
        <f t="shared" si="19"/>
        <v>0</v>
      </c>
      <c r="Q143" s="13">
        <f t="shared" si="20"/>
        <v>0</v>
      </c>
      <c r="R143" s="10">
        <f t="shared" si="21"/>
        <v>0</v>
      </c>
      <c r="S143" t="str">
        <f t="shared" si="22"/>
        <v>Jul-2026</v>
      </c>
      <c r="T143" t="str">
        <f t="shared" si="23"/>
        <v>CHECK</v>
      </c>
    </row>
    <row r="144" spans="1:20">
      <c r="A144" t="str">
        <f>TRIM(Raw_Data!A144)</f>
        <v>ORD-10143</v>
      </c>
      <c r="B144" s="12">
        <f>IFERROR(IF(ISNUMBER(Raw_Data!B144),Raw_Data!B144,DATEVALUE(Raw_Data!B144)),"")</f>
        <v>46185</v>
      </c>
      <c r="C144" t="str">
        <f>PROPER(TRIM(Raw_Data!C144))</f>
        <v>Meghana</v>
      </c>
      <c r="D144" t="str">
        <f>IF(TRIM(Raw_Data!D144)="Bangalore","Bengaluru",IF(TRIM(Raw_Data!D144)="Mysore","Mysuru",IF(TRIM(Raw_Data!D144)="Cochin","Kochi",PROPER(TRIM(Raw_Data!D144)))))</f>
        <v>Delhi</v>
      </c>
      <c r="E144" t="str">
        <f>PROPER(TRIM(Raw_Data!E144))</f>
        <v>Online</v>
      </c>
      <c r="F144" t="str">
        <f>PROPER(TRIM(Raw_Data!F144))</f>
        <v>Smb</v>
      </c>
      <c r="G144" t="str">
        <f>PROPER(TRIM(Raw_Data!G144))</f>
        <v>Keyboard</v>
      </c>
      <c r="H144" t="str">
        <f>PROPER(TRIM(Raw_Data!H144))</f>
        <v>Keyboard Office</v>
      </c>
      <c r="I144">
        <f>IFERROR(MAX(0,VALUE(Raw_Data!I144)),0)</f>
        <v>7</v>
      </c>
      <c r="J144" s="13">
        <f>IFERROR(VALUE(Raw_Data!J144),0)</f>
        <v>2544</v>
      </c>
      <c r="K144" s="14">
        <f>IFERROR(VALUE(Raw_Data!K144),0)</f>
        <v>0</v>
      </c>
      <c r="L144" t="str">
        <f>PROPER(TRIM(Raw_Data!L144))</f>
        <v>Delivered</v>
      </c>
      <c r="M144" s="13">
        <f t="shared" si="16"/>
        <v>17808</v>
      </c>
      <c r="N144" s="13">
        <f t="shared" si="17"/>
        <v>0</v>
      </c>
      <c r="O144" s="13">
        <f t="shared" si="18"/>
        <v>17808</v>
      </c>
      <c r="P144" s="13">
        <f t="shared" si="19"/>
        <v>10328.64</v>
      </c>
      <c r="Q144" s="13">
        <f t="shared" si="20"/>
        <v>7479.36</v>
      </c>
      <c r="R144" s="10">
        <f t="shared" si="21"/>
        <v>0.42</v>
      </c>
      <c r="S144" t="str">
        <f t="shared" si="22"/>
        <v>Jun-2026</v>
      </c>
      <c r="T144" t="str">
        <f t="shared" si="23"/>
        <v>OK</v>
      </c>
    </row>
    <row r="145" spans="1:20">
      <c r="A145" t="str">
        <f>TRIM(Raw_Data!A145)</f>
        <v>ORD-10144</v>
      </c>
      <c r="B145" s="12">
        <f>IFERROR(IF(ISNUMBER(Raw_Data!B145),Raw_Data!B145,DATEVALUE(Raw_Data!B145)),"")</f>
        <v>46173</v>
      </c>
      <c r="C145" t="str">
        <f>PROPER(TRIM(Raw_Data!C145))</f>
        <v>Priya</v>
      </c>
      <c r="D145" t="str">
        <f>IF(TRIM(Raw_Data!D145)="Bangalore","Bengaluru",IF(TRIM(Raw_Data!D145)="Mysore","Mysuru",IF(TRIM(Raw_Data!D145)="Cochin","Kochi",PROPER(TRIM(Raw_Data!D145)))))</f>
        <v>Mysuru</v>
      </c>
      <c r="E145" t="str">
        <f>PROPER(TRIM(Raw_Data!E145))</f>
        <v>Retail Store</v>
      </c>
      <c r="F145" t="str">
        <f>PROPER(TRIM(Raw_Data!F145))</f>
        <v>Consumer</v>
      </c>
      <c r="G145" t="str">
        <f>PROPER(TRIM(Raw_Data!G145))</f>
        <v>Headset</v>
      </c>
      <c r="H145" t="str">
        <f>PROPER(TRIM(Raw_Data!H145))</f>
        <v>Headset Pro</v>
      </c>
      <c r="I145">
        <f>IFERROR(MAX(0,VALUE(Raw_Data!I145)),0)</f>
        <v>8</v>
      </c>
      <c r="J145" s="13">
        <f>IFERROR(VALUE(Raw_Data!J145),0)</f>
        <v>5045</v>
      </c>
      <c r="K145" s="14">
        <f>IFERROR(VALUE(Raw_Data!K145),0)</f>
        <v>0.1</v>
      </c>
      <c r="L145" t="str">
        <f>PROPER(TRIM(Raw_Data!L145))</f>
        <v>Delivered</v>
      </c>
      <c r="M145" s="13">
        <f t="shared" si="16"/>
        <v>40360</v>
      </c>
      <c r="N145" s="13">
        <f t="shared" si="17"/>
        <v>4036</v>
      </c>
      <c r="O145" s="13">
        <f t="shared" si="18"/>
        <v>36324</v>
      </c>
      <c r="P145" s="13">
        <f t="shared" si="19"/>
        <v>24216</v>
      </c>
      <c r="Q145" s="13">
        <f t="shared" si="20"/>
        <v>12108</v>
      </c>
      <c r="R145" s="10">
        <f t="shared" si="21"/>
        <v>0.333333333333333</v>
      </c>
      <c r="S145" t="str">
        <f t="shared" si="22"/>
        <v>May-2026</v>
      </c>
      <c r="T145" t="str">
        <f t="shared" si="23"/>
        <v>OK</v>
      </c>
    </row>
    <row r="146" spans="1:20">
      <c r="A146" t="str">
        <f>TRIM(Raw_Data!A146)</f>
        <v>ORD-10145</v>
      </c>
      <c r="B146" s="12">
        <f>IFERROR(IF(ISNUMBER(Raw_Data!B146),Raw_Data!B146,DATEVALUE(Raw_Data!B146)),"")</f>
        <v>46229</v>
      </c>
      <c r="C146" t="str">
        <f>PROPER(TRIM(Raw_Data!C146))</f>
        <v>Bhoomika</v>
      </c>
      <c r="D146" t="str">
        <f>IF(TRIM(Raw_Data!D146)="Bangalore","Bengaluru",IF(TRIM(Raw_Data!D146)="Mysore","Mysuru",IF(TRIM(Raw_Data!D146)="Cochin","Kochi",PROPER(TRIM(Raw_Data!D146)))))</f>
        <v>Kochi</v>
      </c>
      <c r="E146" t="str">
        <f>PROPER(TRIM(Raw_Data!E146))</f>
        <v>Online</v>
      </c>
      <c r="F146" t="str">
        <f>PROPER(TRIM(Raw_Data!F146))</f>
        <v>Consumer</v>
      </c>
      <c r="G146" t="str">
        <f>PROPER(TRIM(Raw_Data!G146))</f>
        <v>Monitor</v>
      </c>
      <c r="H146" t="str">
        <f>PROPER(TRIM(Raw_Data!H146))</f>
        <v>Monitor 24</v>
      </c>
      <c r="I146">
        <f>IFERROR(MAX(0,VALUE(Raw_Data!I146)),0)</f>
        <v>4</v>
      </c>
      <c r="J146" s="13">
        <f>IFERROR(VALUE(Raw_Data!J146),0)</f>
        <v>25786</v>
      </c>
      <c r="K146" s="14">
        <f>IFERROR(VALUE(Raw_Data!K146),0)</f>
        <v>0.02</v>
      </c>
      <c r="L146" t="str">
        <f>PROPER(TRIM(Raw_Data!L146))</f>
        <v>Delivered</v>
      </c>
      <c r="M146" s="13">
        <f t="shared" si="16"/>
        <v>103144</v>
      </c>
      <c r="N146" s="13">
        <f t="shared" si="17"/>
        <v>2062.88</v>
      </c>
      <c r="O146" s="13">
        <f t="shared" si="18"/>
        <v>101081.12</v>
      </c>
      <c r="P146" s="13">
        <f t="shared" si="19"/>
        <v>72200.8</v>
      </c>
      <c r="Q146" s="13">
        <f t="shared" si="20"/>
        <v>28880.32</v>
      </c>
      <c r="R146" s="10">
        <f t="shared" si="21"/>
        <v>0.285714285714286</v>
      </c>
      <c r="S146" t="str">
        <f t="shared" si="22"/>
        <v>Jul-2026</v>
      </c>
      <c r="T146" t="str">
        <f t="shared" si="23"/>
        <v>OK</v>
      </c>
    </row>
    <row r="147" spans="1:20">
      <c r="A147" t="str">
        <f>TRIM(Raw_Data!A147)</f>
        <v>ORD-10146</v>
      </c>
      <c r="B147" s="12">
        <f>IFERROR(IF(ISNUMBER(Raw_Data!B147),Raw_Data!B147,DATEVALUE(Raw_Data!B147)),"")</f>
        <v>46193</v>
      </c>
      <c r="C147" t="str">
        <f>PROPER(TRIM(Raw_Data!C147))</f>
        <v>Meghana</v>
      </c>
      <c r="D147" t="str">
        <f>IF(TRIM(Raw_Data!D147)="Bangalore","Bengaluru",IF(TRIM(Raw_Data!D147)="Mysore","Mysuru",IF(TRIM(Raw_Data!D147)="Cochin","Kochi",PROPER(TRIM(Raw_Data!D147)))))</f>
        <v>Mumbai</v>
      </c>
      <c r="E147" t="str">
        <f>PROPER(TRIM(Raw_Data!E147))</f>
        <v>Retail Store</v>
      </c>
      <c r="F147" t="str">
        <f>PROPER(TRIM(Raw_Data!F147))</f>
        <v>Smb</v>
      </c>
      <c r="G147" t="str">
        <f>PROPER(TRIM(Raw_Data!G147))</f>
        <v>Mouse</v>
      </c>
      <c r="H147" t="str">
        <f>PROPER(TRIM(Raw_Data!H147))</f>
        <v>Mouse Basic</v>
      </c>
      <c r="I147">
        <f>IFERROR(MAX(0,VALUE(Raw_Data!I147)),0)</f>
        <v>7</v>
      </c>
      <c r="J147" s="13">
        <f>IFERROR(VALUE(Raw_Data!J147),0)</f>
        <v>1136</v>
      </c>
      <c r="K147" s="14">
        <f>IFERROR(VALUE(Raw_Data!K147),0)</f>
        <v>0.02</v>
      </c>
      <c r="L147" t="str">
        <f>PROPER(TRIM(Raw_Data!L147))</f>
        <v>Delivered</v>
      </c>
      <c r="M147" s="13">
        <f t="shared" si="16"/>
        <v>7952</v>
      </c>
      <c r="N147" s="13">
        <f t="shared" si="17"/>
        <v>159.04</v>
      </c>
      <c r="O147" s="13">
        <f t="shared" si="18"/>
        <v>7792.96</v>
      </c>
      <c r="P147" s="13">
        <f t="shared" si="19"/>
        <v>4373.6</v>
      </c>
      <c r="Q147" s="13">
        <f t="shared" si="20"/>
        <v>3419.36</v>
      </c>
      <c r="R147" s="10">
        <f t="shared" si="21"/>
        <v>0.438775510204082</v>
      </c>
      <c r="S147" t="str">
        <f t="shared" si="22"/>
        <v>Jun-2026</v>
      </c>
      <c r="T147" t="str">
        <f t="shared" si="23"/>
        <v>OK</v>
      </c>
    </row>
    <row r="148" spans="1:20">
      <c r="A148" t="str">
        <f>TRIM(Raw_Data!A148)</f>
        <v>ORD-10147</v>
      </c>
      <c r="B148" s="12">
        <f>IFERROR(IF(ISNUMBER(Raw_Data!B148),Raw_Data!B148,DATEVALUE(Raw_Data!B148)),"")</f>
        <v>46080</v>
      </c>
      <c r="C148" t="str">
        <f>PROPER(TRIM(Raw_Data!C148))</f>
        <v>Asha</v>
      </c>
      <c r="D148" t="str">
        <f>IF(TRIM(Raw_Data!D148)="Bangalore","Bengaluru",IF(TRIM(Raw_Data!D148)="Mysore","Mysuru",IF(TRIM(Raw_Data!D148)="Cochin","Kochi",PROPER(TRIM(Raw_Data!D148)))))</f>
        <v>Pune</v>
      </c>
      <c r="E148" t="str">
        <f>PROPER(TRIM(Raw_Data!E148))</f>
        <v>Corporate</v>
      </c>
      <c r="F148" t="str">
        <f>PROPER(TRIM(Raw_Data!F148))</f>
        <v>Enterprise</v>
      </c>
      <c r="G148" t="str">
        <f>PROPER(TRIM(Raw_Data!G148))</f>
        <v>Headset</v>
      </c>
      <c r="H148" t="str">
        <f>PROPER(TRIM(Raw_Data!H148))</f>
        <v>Headset Wireless</v>
      </c>
      <c r="I148">
        <f>IFERROR(MAX(0,VALUE(Raw_Data!I148)),0)</f>
        <v>7</v>
      </c>
      <c r="J148" s="13">
        <f>IFERROR(VALUE(Raw_Data!J148),0)</f>
        <v>4674</v>
      </c>
      <c r="K148" s="14">
        <f>IFERROR(VALUE(Raw_Data!K148),0)</f>
        <v>0.15</v>
      </c>
      <c r="L148" t="str">
        <f>PROPER(TRIM(Raw_Data!L148))</f>
        <v>Delivered</v>
      </c>
      <c r="M148" s="13">
        <f t="shared" si="16"/>
        <v>32718</v>
      </c>
      <c r="N148" s="13">
        <f t="shared" si="17"/>
        <v>4907.7</v>
      </c>
      <c r="O148" s="13">
        <f t="shared" si="18"/>
        <v>27810.3</v>
      </c>
      <c r="P148" s="13">
        <f t="shared" si="19"/>
        <v>19630.8</v>
      </c>
      <c r="Q148" s="13">
        <f t="shared" si="20"/>
        <v>8179.5</v>
      </c>
      <c r="R148" s="10">
        <f t="shared" si="21"/>
        <v>0.294117647058824</v>
      </c>
      <c r="S148" t="str">
        <f t="shared" si="22"/>
        <v>Feb-2026</v>
      </c>
      <c r="T148" t="str">
        <f t="shared" si="23"/>
        <v>OK</v>
      </c>
    </row>
    <row r="149" spans="1:20">
      <c r="A149" t="str">
        <f>TRIM(Raw_Data!A149)</f>
        <v>ORD-10148</v>
      </c>
      <c r="B149" s="12">
        <f>IFERROR(IF(ISNUMBER(Raw_Data!B149),Raw_Data!B149,DATEVALUE(Raw_Data!B149)),"")</f>
        <v>46197</v>
      </c>
      <c r="C149" t="str">
        <f>PROPER(TRIM(Raw_Data!C149))</f>
        <v>Bhoomika</v>
      </c>
      <c r="D149" t="str">
        <f>IF(TRIM(Raw_Data!D149)="Bangalore","Bengaluru",IF(TRIM(Raw_Data!D149)="Mysore","Mysuru",IF(TRIM(Raw_Data!D149)="Cochin","Kochi",PROPER(TRIM(Raw_Data!D149)))))</f>
        <v>Hyderabad</v>
      </c>
      <c r="E149" t="str">
        <f>PROPER(TRIM(Raw_Data!E149))</f>
        <v>Online</v>
      </c>
      <c r="F149" t="str">
        <f>PROPER(TRIM(Raw_Data!F149))</f>
        <v>Enterprise</v>
      </c>
      <c r="G149" t="str">
        <f>PROPER(TRIM(Raw_Data!G149))</f>
        <v>Laptop</v>
      </c>
      <c r="H149" t="str">
        <f>PROPER(TRIM(Raw_Data!H149))</f>
        <v>Laptop Pro 14</v>
      </c>
      <c r="I149">
        <f>IFERROR(MAX(0,VALUE(Raw_Data!I149)),0)</f>
        <v>5</v>
      </c>
      <c r="J149" s="13">
        <f>IFERROR(VALUE(Raw_Data!J149),0)</f>
        <v>78675</v>
      </c>
      <c r="K149" s="14">
        <f>IFERROR(VALUE(Raw_Data!K149),0)</f>
        <v>0.1</v>
      </c>
      <c r="L149" t="str">
        <f>PROPER(TRIM(Raw_Data!L149))</f>
        <v>Delivered</v>
      </c>
      <c r="M149" s="13">
        <f t="shared" si="16"/>
        <v>393375</v>
      </c>
      <c r="N149" s="13">
        <f t="shared" si="17"/>
        <v>39337.5</v>
      </c>
      <c r="O149" s="13">
        <f t="shared" si="18"/>
        <v>354037.5</v>
      </c>
      <c r="P149" s="13">
        <f t="shared" si="19"/>
        <v>306832.5</v>
      </c>
      <c r="Q149" s="13">
        <f t="shared" si="20"/>
        <v>47205</v>
      </c>
      <c r="R149" s="10">
        <f t="shared" si="21"/>
        <v>0.133333333333333</v>
      </c>
      <c r="S149" t="str">
        <f t="shared" si="22"/>
        <v>Jun-2026</v>
      </c>
      <c r="T149" t="str">
        <f t="shared" si="23"/>
        <v>OK</v>
      </c>
    </row>
    <row r="150" spans="1:20">
      <c r="A150" t="str">
        <f>TRIM(Raw_Data!A150)</f>
        <v>ORD-10149</v>
      </c>
      <c r="B150" s="12">
        <f>IFERROR(IF(ISNUMBER(Raw_Data!B150),Raw_Data!B150,DATEVALUE(Raw_Data!B150)),"")</f>
        <v>46040</v>
      </c>
      <c r="C150" t="str">
        <f>PROPER(TRIM(Raw_Data!C150))</f>
        <v>Arjun</v>
      </c>
      <c r="D150" t="str">
        <f>IF(TRIM(Raw_Data!D150)="Bangalore","Bengaluru",IF(TRIM(Raw_Data!D150)="Mysore","Mysuru",IF(TRIM(Raw_Data!D150)="Cochin","Kochi",PROPER(TRIM(Raw_Data!D150)))))</f>
        <v>Kochi</v>
      </c>
      <c r="E150" t="str">
        <f>PROPER(TRIM(Raw_Data!E150))</f>
        <v>Corporate</v>
      </c>
      <c r="F150" t="str">
        <f>PROPER(TRIM(Raw_Data!F150))</f>
        <v>Consumer</v>
      </c>
      <c r="G150" t="str">
        <f>PROPER(TRIM(Raw_Data!G150))</f>
        <v>Headset</v>
      </c>
      <c r="H150" t="str">
        <f>PROPER(TRIM(Raw_Data!H150))</f>
        <v>Headset Pro</v>
      </c>
      <c r="I150">
        <f>IFERROR(MAX(0,VALUE(Raw_Data!I150)),0)</f>
        <v>4</v>
      </c>
      <c r="J150" s="13">
        <f>IFERROR(VALUE(Raw_Data!J150),0)</f>
        <v>4362</v>
      </c>
      <c r="K150" s="14">
        <f>IFERROR(VALUE(Raw_Data!K150),0)</f>
        <v>0.02</v>
      </c>
      <c r="L150" t="str">
        <f>PROPER(TRIM(Raw_Data!L150))</f>
        <v>Returned</v>
      </c>
      <c r="M150" s="13">
        <f t="shared" si="16"/>
        <v>17448</v>
      </c>
      <c r="N150" s="13">
        <f t="shared" si="17"/>
        <v>348.96</v>
      </c>
      <c r="O150" s="13">
        <f t="shared" si="18"/>
        <v>17099.04</v>
      </c>
      <c r="P150" s="13">
        <f t="shared" si="19"/>
        <v>10468.8</v>
      </c>
      <c r="Q150" s="13">
        <f t="shared" si="20"/>
        <v>6630.24</v>
      </c>
      <c r="R150" s="10">
        <f t="shared" si="21"/>
        <v>0.387755102040816</v>
      </c>
      <c r="S150" t="str">
        <f t="shared" si="22"/>
        <v>Jan-2026</v>
      </c>
      <c r="T150" t="str">
        <f t="shared" si="23"/>
        <v>OK</v>
      </c>
    </row>
    <row r="151" spans="1:20">
      <c r="A151" t="str">
        <f>TRIM(Raw_Data!A151)</f>
        <v>ORD-10150</v>
      </c>
      <c r="B151" s="12">
        <f>IFERROR(IF(ISNUMBER(Raw_Data!B151),Raw_Data!B151,DATEVALUE(Raw_Data!B151)),"")</f>
        <v>46249</v>
      </c>
      <c r="C151" t="str">
        <f>PROPER(TRIM(Raw_Data!C151))</f>
        <v>Asha</v>
      </c>
      <c r="D151" t="str">
        <f>IF(TRIM(Raw_Data!D151)="Bangalore","Bengaluru",IF(TRIM(Raw_Data!D151)="Mysore","Mysuru",IF(TRIM(Raw_Data!D151)="Cochin","Kochi",PROPER(TRIM(Raw_Data!D151)))))</f>
        <v>Chennai</v>
      </c>
      <c r="E151" t="str">
        <f>PROPER(TRIM(Raw_Data!E151))</f>
        <v>Retail Store</v>
      </c>
      <c r="F151" t="str">
        <f>PROPER(TRIM(Raw_Data!F151))</f>
        <v>Smb</v>
      </c>
      <c r="G151" t="str">
        <f>PROPER(TRIM(Raw_Data!G151))</f>
        <v>Keyboard</v>
      </c>
      <c r="H151" t="str">
        <f>PROPER(TRIM(Raw_Data!H151))</f>
        <v>Keyboard Mechanical</v>
      </c>
      <c r="I151">
        <f>IFERROR(MAX(0,VALUE(Raw_Data!I151)),0)</f>
        <v>6</v>
      </c>
      <c r="J151" s="13">
        <f>IFERROR(VALUE(Raw_Data!J151),0)</f>
        <v>3516</v>
      </c>
      <c r="K151" s="14">
        <f>IFERROR(VALUE(Raw_Data!K151),0)</f>
        <v>0.1</v>
      </c>
      <c r="L151" t="str">
        <f>PROPER(TRIM(Raw_Data!L151))</f>
        <v>Cancelled</v>
      </c>
      <c r="M151" s="13">
        <f t="shared" si="16"/>
        <v>21096</v>
      </c>
      <c r="N151" s="13">
        <f t="shared" si="17"/>
        <v>2109.6</v>
      </c>
      <c r="O151" s="13">
        <f t="shared" si="18"/>
        <v>18986.4</v>
      </c>
      <c r="P151" s="13">
        <f t="shared" si="19"/>
        <v>12235.68</v>
      </c>
      <c r="Q151" s="13">
        <f t="shared" si="20"/>
        <v>6750.72</v>
      </c>
      <c r="R151" s="10">
        <f t="shared" si="21"/>
        <v>0.355555555555556</v>
      </c>
      <c r="S151" t="str">
        <f t="shared" si="22"/>
        <v>Aug-2026</v>
      </c>
      <c r="T151" t="str">
        <f t="shared" si="23"/>
        <v>OK</v>
      </c>
    </row>
    <row r="152" spans="1:20">
      <c r="A152" t="str">
        <f>TRIM(Raw_Data!A152)</f>
        <v>ORD-10150</v>
      </c>
      <c r="B152" s="12" t="str">
        <f>IFERROR(IF(ISNUMBER(Raw_Data!B152),Raw_Data!B152,DATEVALUE(Raw_Data!B152)),"")</f>
        <v/>
      </c>
      <c r="C152" t="str">
        <f>PROPER(TRIM(Raw_Data!C152))</f>
        <v>Bhoomika</v>
      </c>
      <c r="D152" t="str">
        <f>IF(TRIM(Raw_Data!D152)="Bangalore","Bengaluru",IF(TRIM(Raw_Data!D152)="Mysore","Mysuru",IF(TRIM(Raw_Data!D152)="Cochin","Kochi",PROPER(TRIM(Raw_Data!D152)))))</f>
        <v>Chennai</v>
      </c>
      <c r="E152" t="str">
        <f>PROPER(TRIM(Raw_Data!E152))</f>
        <v>Online</v>
      </c>
      <c r="F152" t="str">
        <f>PROPER(TRIM(Raw_Data!F152))</f>
        <v>Enterprise</v>
      </c>
      <c r="G152" t="str">
        <f>PROPER(TRIM(Raw_Data!G152))</f>
        <v>Mouse</v>
      </c>
      <c r="H152" t="str">
        <f>PROPER(TRIM(Raw_Data!H152))</f>
        <v>Mouse Basic</v>
      </c>
      <c r="I152">
        <f>IFERROR(MAX(0,VALUE(Raw_Data!I152)),0)</f>
        <v>2</v>
      </c>
      <c r="J152" s="13">
        <f>IFERROR(VALUE(Raw_Data!J152),0)</f>
        <v>2058</v>
      </c>
      <c r="K152" s="14">
        <f>IFERROR(VALUE(Raw_Data!K152),0)</f>
        <v>0</v>
      </c>
      <c r="L152" t="str">
        <f>PROPER(TRIM(Raw_Data!L152))</f>
        <v>Delivered</v>
      </c>
      <c r="M152" s="13">
        <f t="shared" si="16"/>
        <v>4116</v>
      </c>
      <c r="N152" s="13">
        <f t="shared" si="17"/>
        <v>0</v>
      </c>
      <c r="O152" s="13">
        <f t="shared" si="18"/>
        <v>4116</v>
      </c>
      <c r="P152" s="13">
        <f t="shared" si="19"/>
        <v>2263.8</v>
      </c>
      <c r="Q152" s="13">
        <f t="shared" si="20"/>
        <v>1852.2</v>
      </c>
      <c r="R152" s="10">
        <f t="shared" si="21"/>
        <v>0.45</v>
      </c>
      <c r="S152" t="str">
        <f t="shared" si="22"/>
        <v/>
      </c>
      <c r="T152" t="str">
        <f t="shared" si="23"/>
        <v>CHECK</v>
      </c>
    </row>
    <row r="153" spans="1:20">
      <c r="A153" t="str">
        <f>TRIM(Raw_Data!A153)</f>
        <v>ORD-10152</v>
      </c>
      <c r="B153" s="12">
        <f>IFERROR(IF(ISNUMBER(Raw_Data!B153),Raw_Data!B153,DATEVALUE(Raw_Data!B153)),"")</f>
        <v>46172</v>
      </c>
      <c r="C153" t="str">
        <f>PROPER(TRIM(Raw_Data!C153))</f>
        <v>Neha</v>
      </c>
      <c r="D153" t="str">
        <f>IF(TRIM(Raw_Data!D153)="Bangalore","Bengaluru",IF(TRIM(Raw_Data!D153)="Mysore","Mysuru",IF(TRIM(Raw_Data!D153)="Cochin","Kochi",PROPER(TRIM(Raw_Data!D153)))))</f>
        <v>Chennai</v>
      </c>
      <c r="E153" t="str">
        <f>PROPER(TRIM(Raw_Data!E153))</f>
        <v>Online</v>
      </c>
      <c r="F153" t="str">
        <f>PROPER(TRIM(Raw_Data!F153))</f>
        <v>Consumer</v>
      </c>
      <c r="G153" t="str">
        <f>PROPER(TRIM(Raw_Data!G153))</f>
        <v>Laptop</v>
      </c>
      <c r="H153" t="str">
        <f>PROPER(TRIM(Raw_Data!H153))</f>
        <v>Business Laptop 15</v>
      </c>
      <c r="I153">
        <f>IFERROR(MAX(0,VALUE(Raw_Data!I153)),0)</f>
        <v>5</v>
      </c>
      <c r="J153" s="13">
        <f>IFERROR(VALUE(Raw_Data!J153),0)</f>
        <v>68442</v>
      </c>
      <c r="K153" s="14">
        <f>IFERROR(VALUE(Raw_Data!K153),0)</f>
        <v>0.1</v>
      </c>
      <c r="L153" t="str">
        <f>PROPER(TRIM(Raw_Data!L153))</f>
        <v>Delivered</v>
      </c>
      <c r="M153" s="13">
        <f t="shared" si="16"/>
        <v>342210</v>
      </c>
      <c r="N153" s="13">
        <f t="shared" si="17"/>
        <v>34221</v>
      </c>
      <c r="O153" s="13">
        <f t="shared" si="18"/>
        <v>307989</v>
      </c>
      <c r="P153" s="13">
        <f t="shared" si="19"/>
        <v>266923.8</v>
      </c>
      <c r="Q153" s="13">
        <f t="shared" si="20"/>
        <v>41065.2</v>
      </c>
      <c r="R153" s="10">
        <f t="shared" si="21"/>
        <v>0.133333333333333</v>
      </c>
      <c r="S153" t="str">
        <f t="shared" si="22"/>
        <v>May-2026</v>
      </c>
      <c r="T153" t="str">
        <f t="shared" si="23"/>
        <v>OK</v>
      </c>
    </row>
    <row r="154" spans="1:20">
      <c r="A154" t="str">
        <f>TRIM(Raw_Data!A154)</f>
        <v>ORD-10153</v>
      </c>
      <c r="B154" s="12">
        <f>IFERROR(IF(ISNUMBER(Raw_Data!B154),Raw_Data!B154,DATEVALUE(Raw_Data!B154)),"")</f>
        <v>46244</v>
      </c>
      <c r="C154" t="str">
        <f>PROPER(TRIM(Raw_Data!C154))</f>
        <v>Bhoomika</v>
      </c>
      <c r="D154" t="str">
        <f>IF(TRIM(Raw_Data!D154)="Bangalore","Bengaluru",IF(TRIM(Raw_Data!D154)="Mysore","Mysuru",IF(TRIM(Raw_Data!D154)="Cochin","Kochi",PROPER(TRIM(Raw_Data!D154)))))</f>
        <v>Hyderabad</v>
      </c>
      <c r="E154" t="str">
        <f>PROPER(TRIM(Raw_Data!E154))</f>
        <v>Corporate</v>
      </c>
      <c r="F154" t="str">
        <f>PROPER(TRIM(Raw_Data!F154))</f>
        <v>Enterprise</v>
      </c>
      <c r="G154" t="str">
        <f>PROPER(TRIM(Raw_Data!G154))</f>
        <v>Keyboard</v>
      </c>
      <c r="H154" t="str">
        <f>PROPER(TRIM(Raw_Data!H154))</f>
        <v>Keyboard Wireless</v>
      </c>
      <c r="I154">
        <f>IFERROR(MAX(0,VALUE(Raw_Data!I154)),0)</f>
        <v>7</v>
      </c>
      <c r="J154" s="13">
        <f>IFERROR(VALUE(Raw_Data!J154),0)</f>
        <v>1241</v>
      </c>
      <c r="K154" s="14">
        <f>IFERROR(VALUE(Raw_Data!K154),0)</f>
        <v>0.1</v>
      </c>
      <c r="L154" t="str">
        <f>PROPER(TRIM(Raw_Data!L154))</f>
        <v>Cancelled</v>
      </c>
      <c r="M154" s="13">
        <f t="shared" si="16"/>
        <v>8687</v>
      </c>
      <c r="N154" s="13">
        <f t="shared" si="17"/>
        <v>868.7</v>
      </c>
      <c r="O154" s="13">
        <f t="shared" si="18"/>
        <v>7818.3</v>
      </c>
      <c r="P154" s="13">
        <f t="shared" si="19"/>
        <v>5038.46</v>
      </c>
      <c r="Q154" s="13">
        <f t="shared" si="20"/>
        <v>2779.84</v>
      </c>
      <c r="R154" s="10">
        <f t="shared" si="21"/>
        <v>0.355555555555556</v>
      </c>
      <c r="S154" t="str">
        <f t="shared" si="22"/>
        <v>Aug-2026</v>
      </c>
      <c r="T154" t="str">
        <f t="shared" si="23"/>
        <v>OK</v>
      </c>
    </row>
    <row r="155" spans="1:20">
      <c r="A155" t="str">
        <f>TRIM(Raw_Data!A155)</f>
        <v>ORD-10154</v>
      </c>
      <c r="B155" s="12">
        <f>IFERROR(IF(ISNUMBER(Raw_Data!B155),Raw_Data!B155,DATEVALUE(Raw_Data!B155)),"")</f>
        <v>46240</v>
      </c>
      <c r="C155" t="str">
        <f>PROPER(TRIM(Raw_Data!C155))</f>
        <v>Meghana</v>
      </c>
      <c r="D155" t="str">
        <f>IF(TRIM(Raw_Data!D155)="Bangalore","Bengaluru",IF(TRIM(Raw_Data!D155)="Mysore","Mysuru",IF(TRIM(Raw_Data!D155)="Cochin","Kochi",PROPER(TRIM(Raw_Data!D155)))))</f>
        <v>Chennai</v>
      </c>
      <c r="E155" t="str">
        <f>PROPER(TRIM(Raw_Data!E155))</f>
        <v>Online</v>
      </c>
      <c r="F155" t="str">
        <f>PROPER(TRIM(Raw_Data!F155))</f>
        <v>Enterprise</v>
      </c>
      <c r="G155" t="str">
        <f>PROPER(TRIM(Raw_Data!G155))</f>
        <v>Headset</v>
      </c>
      <c r="H155" t="str">
        <f>PROPER(TRIM(Raw_Data!H155))</f>
        <v>Headset Wireless</v>
      </c>
      <c r="I155">
        <f>IFERROR(MAX(0,VALUE(Raw_Data!I155)),0)</f>
        <v>8</v>
      </c>
      <c r="J155" s="13">
        <f>IFERROR(VALUE(Raw_Data!J155),0)</f>
        <v>3117</v>
      </c>
      <c r="K155" s="14">
        <f>IFERROR(VALUE(Raw_Data!K155),0)</f>
        <v>0.05</v>
      </c>
      <c r="L155" t="str">
        <f>PROPER(TRIM(Raw_Data!L155))</f>
        <v>Delivered</v>
      </c>
      <c r="M155" s="13">
        <f t="shared" si="16"/>
        <v>24936</v>
      </c>
      <c r="N155" s="13">
        <f t="shared" si="17"/>
        <v>1246.8</v>
      </c>
      <c r="O155" s="13">
        <f t="shared" si="18"/>
        <v>23689.2</v>
      </c>
      <c r="P155" s="13">
        <f t="shared" si="19"/>
        <v>14961.6</v>
      </c>
      <c r="Q155" s="13">
        <f t="shared" si="20"/>
        <v>8727.6</v>
      </c>
      <c r="R155" s="10">
        <f t="shared" si="21"/>
        <v>0.368421052631579</v>
      </c>
      <c r="S155" t="str">
        <f t="shared" si="22"/>
        <v>Aug-2026</v>
      </c>
      <c r="T155" t="str">
        <f t="shared" si="23"/>
        <v>OK</v>
      </c>
    </row>
    <row r="156" spans="1:20">
      <c r="A156" t="str">
        <f>TRIM(Raw_Data!A156)</f>
        <v>ORD-10155</v>
      </c>
      <c r="B156" s="12">
        <f>IFERROR(IF(ISNUMBER(Raw_Data!B156),Raw_Data!B156,DATEVALUE(Raw_Data!B156)),"")</f>
        <v>46224</v>
      </c>
      <c r="C156" t="str">
        <f>PROPER(TRIM(Raw_Data!C156))</f>
        <v>Bhoomika</v>
      </c>
      <c r="D156" t="str">
        <f>IF(TRIM(Raw_Data!D156)="Bangalore","Bengaluru",IF(TRIM(Raw_Data!D156)="Mysore","Mysuru",IF(TRIM(Raw_Data!D156)="Cochin","Kochi",PROPER(TRIM(Raw_Data!D156)))))</f>
        <v>Kochi</v>
      </c>
      <c r="E156" t="str">
        <f>PROPER(TRIM(Raw_Data!E156))</f>
        <v>Corporate</v>
      </c>
      <c r="F156" t="str">
        <f>PROPER(TRIM(Raw_Data!F156))</f>
        <v>Enterprise</v>
      </c>
      <c r="G156" t="str">
        <f>PROPER(TRIM(Raw_Data!G156))</f>
        <v>Monitor</v>
      </c>
      <c r="H156" t="str">
        <f>PROPER(TRIM(Raw_Data!H156))</f>
        <v>Monitor 32</v>
      </c>
      <c r="I156">
        <f>IFERROR(MAX(0,VALUE(Raw_Data!I156)),0)</f>
        <v>8</v>
      </c>
      <c r="J156" s="13">
        <f>IFERROR(VALUE(Raw_Data!J156),0)</f>
        <v>20779</v>
      </c>
      <c r="K156" s="14">
        <f>IFERROR(VALUE(Raw_Data!K156),0)</f>
        <v>0.08</v>
      </c>
      <c r="L156" t="str">
        <f>PROPER(TRIM(Raw_Data!L156))</f>
        <v>Pending</v>
      </c>
      <c r="M156" s="13">
        <f t="shared" si="16"/>
        <v>166232</v>
      </c>
      <c r="N156" s="13">
        <f t="shared" si="17"/>
        <v>13298.56</v>
      </c>
      <c r="O156" s="13">
        <f t="shared" si="18"/>
        <v>152933.44</v>
      </c>
      <c r="P156" s="13">
        <f t="shared" si="19"/>
        <v>116362.4</v>
      </c>
      <c r="Q156" s="13">
        <f t="shared" si="20"/>
        <v>36571.04</v>
      </c>
      <c r="R156" s="10">
        <f t="shared" si="21"/>
        <v>0.239130434782609</v>
      </c>
      <c r="S156" t="str">
        <f t="shared" si="22"/>
        <v>Jul-2026</v>
      </c>
      <c r="T156" t="str">
        <f t="shared" si="23"/>
        <v>OK</v>
      </c>
    </row>
    <row r="157" spans="1:20">
      <c r="A157" t="str">
        <f>TRIM(Raw_Data!A157)</f>
        <v>ORD-10156</v>
      </c>
      <c r="B157" s="12" t="str">
        <f>IFERROR(IF(ISNUMBER(Raw_Data!B157),Raw_Data!B157,DATEVALUE(Raw_Data!B157)),"")</f>
        <v/>
      </c>
      <c r="C157" t="str">
        <f>PROPER(TRIM(Raw_Data!C157))</f>
        <v>Meghana</v>
      </c>
      <c r="D157" t="str">
        <f>IF(TRIM(Raw_Data!D157)="Bangalore","Bengaluru",IF(TRIM(Raw_Data!D157)="Mysore","Mysuru",IF(TRIM(Raw_Data!D157)="Cochin","Kochi",PROPER(TRIM(Raw_Data!D157)))))</f>
        <v>Kochi</v>
      </c>
      <c r="E157" t="str">
        <f>PROPER(TRIM(Raw_Data!E157))</f>
        <v>Retail Store</v>
      </c>
      <c r="F157" t="str">
        <f>PROPER(TRIM(Raw_Data!F157))</f>
        <v>Consumer</v>
      </c>
      <c r="G157" t="str">
        <f>PROPER(TRIM(Raw_Data!G157))</f>
        <v>Laptop</v>
      </c>
      <c r="H157" t="str">
        <f>PROPER(TRIM(Raw_Data!H157))</f>
        <v>Business Laptop 15</v>
      </c>
      <c r="I157">
        <f>IFERROR(MAX(0,VALUE(Raw_Data!I157)),0)</f>
        <v>8</v>
      </c>
      <c r="J157" s="13">
        <f>IFERROR(VALUE(Raw_Data!J157),0)</f>
        <v>83668</v>
      </c>
      <c r="K157" s="14">
        <f>IFERROR(VALUE(Raw_Data!K157),0)</f>
        <v>0.15</v>
      </c>
      <c r="L157" t="str">
        <f>PROPER(TRIM(Raw_Data!L157))</f>
        <v>Delivered</v>
      </c>
      <c r="M157" s="13">
        <f t="shared" si="16"/>
        <v>669344</v>
      </c>
      <c r="N157" s="13">
        <f t="shared" si="17"/>
        <v>100401.6</v>
      </c>
      <c r="O157" s="13">
        <f t="shared" si="18"/>
        <v>568942.4</v>
      </c>
      <c r="P157" s="13">
        <f t="shared" si="19"/>
        <v>522088.32</v>
      </c>
      <c r="Q157" s="13">
        <f t="shared" si="20"/>
        <v>46854.08</v>
      </c>
      <c r="R157" s="10">
        <f t="shared" si="21"/>
        <v>0.0823529411764706</v>
      </c>
      <c r="S157" t="str">
        <f t="shared" si="22"/>
        <v/>
      </c>
      <c r="T157" t="str">
        <f t="shared" si="23"/>
        <v>CHECK</v>
      </c>
    </row>
    <row r="158" spans="1:20">
      <c r="A158" t="str">
        <f>TRIM(Raw_Data!A158)</f>
        <v>ORD-10157</v>
      </c>
      <c r="B158" s="12">
        <f>IFERROR(IF(ISNUMBER(Raw_Data!B158),Raw_Data!B158,DATEVALUE(Raw_Data!B158)),"")</f>
        <v>46058</v>
      </c>
      <c r="C158" t="str">
        <f>PROPER(TRIM(Raw_Data!C158))</f>
        <v>Bhoomika</v>
      </c>
      <c r="D158" t="str">
        <f>IF(TRIM(Raw_Data!D158)="Bangalore","Bengaluru",IF(TRIM(Raw_Data!D158)="Mysore","Mysuru",IF(TRIM(Raw_Data!D158)="Cochin","Kochi",PROPER(TRIM(Raw_Data!D158)))))</f>
        <v>Hydrabad</v>
      </c>
      <c r="E158" t="str">
        <f>PROPER(TRIM(Raw_Data!E158))</f>
        <v>Online</v>
      </c>
      <c r="F158" t="str">
        <f>PROPER(TRIM(Raw_Data!F158))</f>
        <v>Enterprise</v>
      </c>
      <c r="G158" t="str">
        <f>PROPER(TRIM(Raw_Data!G158))</f>
        <v>Mouse</v>
      </c>
      <c r="H158" t="str">
        <f>PROPER(TRIM(Raw_Data!H158))</f>
        <v>Mouse Wireless</v>
      </c>
      <c r="I158">
        <f>IFERROR(MAX(0,VALUE(Raw_Data!I158)),0)</f>
        <v>1</v>
      </c>
      <c r="J158" s="13">
        <f>IFERROR(VALUE(Raw_Data!J158),0)</f>
        <v>2680</v>
      </c>
      <c r="K158" s="14">
        <f>IFERROR(VALUE(Raw_Data!K158),0)</f>
        <v>0.02</v>
      </c>
      <c r="L158" t="str">
        <f>PROPER(TRIM(Raw_Data!L158))</f>
        <v>Pending</v>
      </c>
      <c r="M158" s="13">
        <f t="shared" si="16"/>
        <v>2680</v>
      </c>
      <c r="N158" s="13">
        <f t="shared" si="17"/>
        <v>53.6</v>
      </c>
      <c r="O158" s="13">
        <f t="shared" si="18"/>
        <v>2626.4</v>
      </c>
      <c r="P158" s="13">
        <f t="shared" si="19"/>
        <v>1474</v>
      </c>
      <c r="Q158" s="13">
        <f t="shared" si="20"/>
        <v>1152.4</v>
      </c>
      <c r="R158" s="10">
        <f t="shared" si="21"/>
        <v>0.438775510204082</v>
      </c>
      <c r="S158" t="str">
        <f t="shared" si="22"/>
        <v>Feb-2026</v>
      </c>
      <c r="T158" t="str">
        <f t="shared" si="23"/>
        <v>OK</v>
      </c>
    </row>
    <row r="159" spans="1:20">
      <c r="A159" t="str">
        <f>TRIM(Raw_Data!A159)</f>
        <v>ORD-10158</v>
      </c>
      <c r="B159" s="12">
        <f>IFERROR(IF(ISNUMBER(Raw_Data!B159),Raw_Data!B159,DATEVALUE(Raw_Data!B159)),"")</f>
        <v>46212</v>
      </c>
      <c r="C159" t="str">
        <f>PROPER(TRIM(Raw_Data!C159))</f>
        <v>Meghana</v>
      </c>
      <c r="D159" t="str">
        <f>IF(TRIM(Raw_Data!D159)="Bangalore","Bengaluru",IF(TRIM(Raw_Data!D159)="Mysore","Mysuru",IF(TRIM(Raw_Data!D159)="Cochin","Kochi",PROPER(TRIM(Raw_Data!D159)))))</f>
        <v>Hyderabad</v>
      </c>
      <c r="E159" t="str">
        <f>PROPER(TRIM(Raw_Data!E159))</f>
        <v>Retail Store</v>
      </c>
      <c r="F159" t="str">
        <f>PROPER(TRIM(Raw_Data!F159))</f>
        <v>Enterprise</v>
      </c>
      <c r="G159" t="str">
        <f>PROPER(TRIM(Raw_Data!G159))</f>
        <v>Keyboard</v>
      </c>
      <c r="H159" t="str">
        <f>PROPER(TRIM(Raw_Data!H159))</f>
        <v>Keyboard Office</v>
      </c>
      <c r="I159">
        <f>IFERROR(MAX(0,VALUE(Raw_Data!I159)),0)</f>
        <v>2</v>
      </c>
      <c r="J159" s="13">
        <f>IFERROR(VALUE(Raw_Data!J159),0)</f>
        <v>4192</v>
      </c>
      <c r="K159" s="14">
        <f>IFERROR(VALUE(Raw_Data!K159),0)</f>
        <v>0.1</v>
      </c>
      <c r="L159" t="str">
        <f>PROPER(TRIM(Raw_Data!L159))</f>
        <v>Delivered</v>
      </c>
      <c r="M159" s="13">
        <f t="shared" si="16"/>
        <v>8384</v>
      </c>
      <c r="N159" s="13">
        <f t="shared" si="17"/>
        <v>838.4</v>
      </c>
      <c r="O159" s="13">
        <f t="shared" si="18"/>
        <v>7545.6</v>
      </c>
      <c r="P159" s="13">
        <f t="shared" si="19"/>
        <v>4862.72</v>
      </c>
      <c r="Q159" s="13">
        <f t="shared" si="20"/>
        <v>2682.88</v>
      </c>
      <c r="R159" s="10">
        <f t="shared" si="21"/>
        <v>0.355555555555556</v>
      </c>
      <c r="S159" t="str">
        <f t="shared" si="22"/>
        <v>Jul-2026</v>
      </c>
      <c r="T159" t="str">
        <f t="shared" si="23"/>
        <v>OK</v>
      </c>
    </row>
    <row r="160" spans="1:20">
      <c r="A160" t="str">
        <f>TRIM(Raw_Data!A160)</f>
        <v>ORD-10159</v>
      </c>
      <c r="B160" s="12">
        <f>IFERROR(IF(ISNUMBER(Raw_Data!B160),Raw_Data!B160,DATEVALUE(Raw_Data!B160)),"")</f>
        <v>46115</v>
      </c>
      <c r="C160" t="str">
        <f>PROPER(TRIM(Raw_Data!C160))</f>
        <v>Kiran</v>
      </c>
      <c r="D160" t="str">
        <f>IF(TRIM(Raw_Data!D160)="Bangalore","Bengaluru",IF(TRIM(Raw_Data!D160)="Mysore","Mysuru",IF(TRIM(Raw_Data!D160)="Cochin","Kochi",PROPER(TRIM(Raw_Data!D160)))))</f>
        <v>Chennai</v>
      </c>
      <c r="E160" t="str">
        <f>PROPER(TRIM(Raw_Data!E160))</f>
        <v>Corporate</v>
      </c>
      <c r="F160" t="str">
        <f>PROPER(TRIM(Raw_Data!F160))</f>
        <v>Smb</v>
      </c>
      <c r="G160" t="str">
        <f>PROPER(TRIM(Raw_Data!G160))</f>
        <v>Headset</v>
      </c>
      <c r="H160" t="str">
        <f>PROPER(TRIM(Raw_Data!H160))</f>
        <v>Headset Office</v>
      </c>
      <c r="I160">
        <f>IFERROR(MAX(0,VALUE(Raw_Data!I160)),0)</f>
        <v>8</v>
      </c>
      <c r="J160" s="13">
        <f>IFERROR(VALUE(Raw_Data!J160),0)</f>
        <v>5444</v>
      </c>
      <c r="K160" s="14">
        <f>IFERROR(VALUE(Raw_Data!K160),0)</f>
        <v>0.08</v>
      </c>
      <c r="L160" t="str">
        <f>PROPER(TRIM(Raw_Data!L160))</f>
        <v>Delivered</v>
      </c>
      <c r="M160" s="13">
        <f t="shared" si="16"/>
        <v>43552</v>
      </c>
      <c r="N160" s="13">
        <f t="shared" si="17"/>
        <v>3484.16</v>
      </c>
      <c r="O160" s="13">
        <f t="shared" si="18"/>
        <v>40067.84</v>
      </c>
      <c r="P160" s="13">
        <f t="shared" si="19"/>
        <v>26131.2</v>
      </c>
      <c r="Q160" s="13">
        <f t="shared" si="20"/>
        <v>13936.64</v>
      </c>
      <c r="R160" s="10">
        <f t="shared" si="21"/>
        <v>0.347826086956522</v>
      </c>
      <c r="S160" t="str">
        <f t="shared" si="22"/>
        <v>Apr-2026</v>
      </c>
      <c r="T160" t="str">
        <f t="shared" si="23"/>
        <v>OK</v>
      </c>
    </row>
    <row r="161" spans="1:20">
      <c r="A161" t="str">
        <f>TRIM(Raw_Data!A161)</f>
        <v>ORD-10160</v>
      </c>
      <c r="B161" s="12">
        <f>IFERROR(IF(ISNUMBER(Raw_Data!B161),Raw_Data!B161,DATEVALUE(Raw_Data!B161)),"")</f>
        <v>46186</v>
      </c>
      <c r="C161" t="str">
        <f>PROPER(TRIM(Raw_Data!C161))</f>
        <v>Priya</v>
      </c>
      <c r="D161" t="str">
        <f>IF(TRIM(Raw_Data!D161)="Bangalore","Bengaluru",IF(TRIM(Raw_Data!D161)="Mysore","Mysuru",IF(TRIM(Raw_Data!D161)="Cochin","Kochi",PROPER(TRIM(Raw_Data!D161)))))</f>
        <v>Mumbai</v>
      </c>
      <c r="E161" t="str">
        <f>PROPER(TRIM(Raw_Data!E161))</f>
        <v>Online</v>
      </c>
      <c r="F161" t="str">
        <f>PROPER(TRIM(Raw_Data!F161))</f>
        <v>Consumer</v>
      </c>
      <c r="G161" t="str">
        <f>PROPER(TRIM(Raw_Data!G161))</f>
        <v>Laptop</v>
      </c>
      <c r="H161" t="str">
        <f>PROPER(TRIM(Raw_Data!H161))</f>
        <v>Business Laptop 15</v>
      </c>
      <c r="I161">
        <f>IFERROR(MAX(0,VALUE(Raw_Data!I161)),0)</f>
        <v>8</v>
      </c>
      <c r="J161" s="13">
        <f>IFERROR(VALUE(Raw_Data!J161),0)</f>
        <v>50619</v>
      </c>
      <c r="K161" s="14">
        <f>IFERROR(VALUE(Raw_Data!K161),0)</f>
        <v>0.02</v>
      </c>
      <c r="L161" t="str">
        <f>PROPER(TRIM(Raw_Data!L161))</f>
        <v>Delivered</v>
      </c>
      <c r="M161" s="13">
        <f t="shared" si="16"/>
        <v>404952</v>
      </c>
      <c r="N161" s="13">
        <f t="shared" si="17"/>
        <v>8099.04</v>
      </c>
      <c r="O161" s="13">
        <f t="shared" si="18"/>
        <v>396852.96</v>
      </c>
      <c r="P161" s="13">
        <f t="shared" si="19"/>
        <v>315862.56</v>
      </c>
      <c r="Q161" s="13">
        <f t="shared" si="20"/>
        <v>80990.4</v>
      </c>
      <c r="R161" s="10">
        <f t="shared" si="21"/>
        <v>0.204081632653061</v>
      </c>
      <c r="S161" t="str">
        <f t="shared" si="22"/>
        <v>Jun-2026</v>
      </c>
      <c r="T161" t="str">
        <f t="shared" si="23"/>
        <v>OK</v>
      </c>
    </row>
    <row r="162" spans="1:20">
      <c r="A162" t="str">
        <f>TRIM(Raw_Data!A162)</f>
        <v>ORD-10161</v>
      </c>
      <c r="B162" s="12">
        <f>IFERROR(IF(ISNUMBER(Raw_Data!B162),Raw_Data!B162,DATEVALUE(Raw_Data!B162)),"")</f>
        <v>46255</v>
      </c>
      <c r="C162" t="str">
        <f>PROPER(TRIM(Raw_Data!C162))</f>
        <v>Ravi</v>
      </c>
      <c r="D162" t="str">
        <f>IF(TRIM(Raw_Data!D162)="Bangalore","Bengaluru",IF(TRIM(Raw_Data!D162)="Mysore","Mysuru",IF(TRIM(Raw_Data!D162)="Cochin","Kochi",PROPER(TRIM(Raw_Data!D162)))))</f>
        <v>Kochi</v>
      </c>
      <c r="E162" t="str">
        <f>PROPER(TRIM(Raw_Data!E162))</f>
        <v>Corporate</v>
      </c>
      <c r="F162" t="str">
        <f>PROPER(TRIM(Raw_Data!F162))</f>
        <v>Smb</v>
      </c>
      <c r="G162" t="str">
        <f>PROPER(TRIM(Raw_Data!G162))</f>
        <v>Headset</v>
      </c>
      <c r="H162" t="str">
        <f>PROPER(TRIM(Raw_Data!H162))</f>
        <v>Headset Office</v>
      </c>
      <c r="I162">
        <f>IFERROR(MAX(0,VALUE(Raw_Data!I162)),0)</f>
        <v>1</v>
      </c>
      <c r="J162" s="13">
        <f>IFERROR(VALUE(Raw_Data!J162),0)</f>
        <v>6536</v>
      </c>
      <c r="K162" s="14">
        <f>IFERROR(VALUE(Raw_Data!K162),0)</f>
        <v>0.1</v>
      </c>
      <c r="L162" t="str">
        <f>PROPER(TRIM(Raw_Data!L162))</f>
        <v>Cancelled</v>
      </c>
      <c r="M162" s="13">
        <f t="shared" si="16"/>
        <v>6536</v>
      </c>
      <c r="N162" s="13">
        <f t="shared" si="17"/>
        <v>653.6</v>
      </c>
      <c r="O162" s="13">
        <f t="shared" si="18"/>
        <v>5882.4</v>
      </c>
      <c r="P162" s="13">
        <f t="shared" si="19"/>
        <v>3921.6</v>
      </c>
      <c r="Q162" s="13">
        <f t="shared" si="20"/>
        <v>1960.8</v>
      </c>
      <c r="R162" s="10">
        <f t="shared" si="21"/>
        <v>0.333333333333333</v>
      </c>
      <c r="S162" t="str">
        <f t="shared" si="22"/>
        <v>Aug-2026</v>
      </c>
      <c r="T162" t="str">
        <f t="shared" si="23"/>
        <v>OK</v>
      </c>
    </row>
    <row r="163" spans="1:20">
      <c r="A163" t="str">
        <f>TRIM(Raw_Data!A163)</f>
        <v>ORD-10162</v>
      </c>
      <c r="B163" s="12">
        <f>IFERROR(IF(ISNUMBER(Raw_Data!B163),Raw_Data!B163,DATEVALUE(Raw_Data!B163)),"")</f>
        <v>46120</v>
      </c>
      <c r="C163" t="str">
        <f>PROPER(TRIM(Raw_Data!C163))</f>
        <v>Kiran</v>
      </c>
      <c r="D163" t="str">
        <f>IF(TRIM(Raw_Data!D163)="Bangalore","Bengaluru",IF(TRIM(Raw_Data!D163)="Mysore","Mysuru",IF(TRIM(Raw_Data!D163)="Cochin","Kochi",PROPER(TRIM(Raw_Data!D163)))))</f>
        <v>Chennai</v>
      </c>
      <c r="E163" t="str">
        <f>PROPER(TRIM(Raw_Data!E163))</f>
        <v>Corporate</v>
      </c>
      <c r="F163" t="str">
        <f>PROPER(TRIM(Raw_Data!F163))</f>
        <v>Consumer</v>
      </c>
      <c r="G163" t="str">
        <f>PROPER(TRIM(Raw_Data!G163))</f>
        <v>Keyboard</v>
      </c>
      <c r="H163" t="str">
        <f>PROPER(TRIM(Raw_Data!H163))</f>
        <v>Keyboard Office</v>
      </c>
      <c r="I163">
        <f>IFERROR(MAX(0,VALUE(Raw_Data!I163)),0)</f>
        <v>2</v>
      </c>
      <c r="J163" s="13">
        <f>IFERROR(VALUE(Raw_Data!J163),0)</f>
        <v>3285</v>
      </c>
      <c r="K163" s="14">
        <f>IFERROR(VALUE(Raw_Data!K163),0)</f>
        <v>0.05</v>
      </c>
      <c r="L163" t="str">
        <f>PROPER(TRIM(Raw_Data!L163))</f>
        <v>Cancelled</v>
      </c>
      <c r="M163" s="13">
        <f t="shared" si="16"/>
        <v>6570</v>
      </c>
      <c r="N163" s="13">
        <f t="shared" si="17"/>
        <v>328.5</v>
      </c>
      <c r="O163" s="13">
        <f t="shared" si="18"/>
        <v>6241.5</v>
      </c>
      <c r="P163" s="13">
        <f t="shared" si="19"/>
        <v>3810.6</v>
      </c>
      <c r="Q163" s="13">
        <f t="shared" si="20"/>
        <v>2430.9</v>
      </c>
      <c r="R163" s="10">
        <f t="shared" si="21"/>
        <v>0.389473684210526</v>
      </c>
      <c r="S163" t="str">
        <f t="shared" si="22"/>
        <v>Apr-2026</v>
      </c>
      <c r="T163" t="str">
        <f t="shared" si="23"/>
        <v>OK</v>
      </c>
    </row>
    <row r="164" spans="1:20">
      <c r="A164" t="str">
        <f>TRIM(Raw_Data!A164)</f>
        <v>ORD-10163</v>
      </c>
      <c r="B164" s="12">
        <f>IFERROR(IF(ISNUMBER(Raw_Data!B164),Raw_Data!B164,DATEVALUE(Raw_Data!B164)),"")</f>
        <v>46089</v>
      </c>
      <c r="C164" t="str">
        <f>PROPER(TRIM(Raw_Data!C164))</f>
        <v>Neha</v>
      </c>
      <c r="D164" t="str">
        <f>IF(TRIM(Raw_Data!D164)="Bangalore","Bengaluru",IF(TRIM(Raw_Data!D164)="Mysore","Mysuru",IF(TRIM(Raw_Data!D164)="Cochin","Kochi",PROPER(TRIM(Raw_Data!D164)))))</f>
        <v>Delhi</v>
      </c>
      <c r="E164" t="str">
        <f>PROPER(TRIM(Raw_Data!E164))</f>
        <v>Retail Store</v>
      </c>
      <c r="F164" t="str">
        <f>PROPER(TRIM(Raw_Data!F164))</f>
        <v>Enterprise</v>
      </c>
      <c r="G164" t="str">
        <f>PROPER(TRIM(Raw_Data!G164))</f>
        <v>Headset</v>
      </c>
      <c r="H164" t="str">
        <f>PROPER(TRIM(Raw_Data!H164))</f>
        <v>Headset Wireless</v>
      </c>
      <c r="I164">
        <f>IFERROR(MAX(0,VALUE(Raw_Data!I164)),0)</f>
        <v>8</v>
      </c>
      <c r="J164" s="13">
        <f>IFERROR(VALUE(Raw_Data!J164),0)</f>
        <v>6022</v>
      </c>
      <c r="K164" s="14">
        <f>IFERROR(VALUE(Raw_Data!K164),0)</f>
        <v>0.02</v>
      </c>
      <c r="L164" t="str">
        <f>PROPER(TRIM(Raw_Data!L164))</f>
        <v>Delivered</v>
      </c>
      <c r="M164" s="13">
        <f t="shared" si="16"/>
        <v>48176</v>
      </c>
      <c r="N164" s="13">
        <f t="shared" si="17"/>
        <v>963.52</v>
      </c>
      <c r="O164" s="13">
        <f t="shared" si="18"/>
        <v>47212.48</v>
      </c>
      <c r="P164" s="13">
        <f t="shared" si="19"/>
        <v>28905.6</v>
      </c>
      <c r="Q164" s="13">
        <f t="shared" si="20"/>
        <v>18306.88</v>
      </c>
      <c r="R164" s="10">
        <f t="shared" si="21"/>
        <v>0.387755102040816</v>
      </c>
      <c r="S164" t="str">
        <f t="shared" si="22"/>
        <v>Mar-2026</v>
      </c>
      <c r="T164" t="str">
        <f t="shared" si="23"/>
        <v>OK</v>
      </c>
    </row>
    <row r="165" spans="1:20">
      <c r="A165" t="str">
        <f>TRIM(Raw_Data!A165)</f>
        <v>ORD-10164</v>
      </c>
      <c r="B165" s="12">
        <f>IFERROR(IF(ISNUMBER(Raw_Data!B165),Raw_Data!B165,DATEVALUE(Raw_Data!B165)),"")</f>
        <v>46163</v>
      </c>
      <c r="C165" t="str">
        <f>PROPER(TRIM(Raw_Data!C165))</f>
        <v>Bhoomika</v>
      </c>
      <c r="D165" t="str">
        <f>IF(TRIM(Raw_Data!D165)="Bangalore","Bengaluru",IF(TRIM(Raw_Data!D165)="Mysore","Mysuru",IF(TRIM(Raw_Data!D165)="Cochin","Kochi",PROPER(TRIM(Raw_Data!D165)))))</f>
        <v>Bengaluru</v>
      </c>
      <c r="E165" t="str">
        <f>PROPER(TRIM(Raw_Data!E165))</f>
        <v>Online</v>
      </c>
      <c r="F165" t="str">
        <f>PROPER(TRIM(Raw_Data!F165))</f>
        <v>Enterprise</v>
      </c>
      <c r="G165" t="str">
        <f>PROPER(TRIM(Raw_Data!G165))</f>
        <v>Headset</v>
      </c>
      <c r="H165" t="str">
        <f>PROPER(TRIM(Raw_Data!H165))</f>
        <v>Headset Office</v>
      </c>
      <c r="I165">
        <f>IFERROR(MAX(0,VALUE(Raw_Data!I165)),0)</f>
        <v>8</v>
      </c>
      <c r="J165" s="13">
        <f>IFERROR(VALUE(Raw_Data!J165),0)</f>
        <v>2690</v>
      </c>
      <c r="K165" s="14">
        <f>IFERROR(VALUE(Raw_Data!K165),0)</f>
        <v>0</v>
      </c>
      <c r="L165" t="str">
        <f>PROPER(TRIM(Raw_Data!L165))</f>
        <v>Pending</v>
      </c>
      <c r="M165" s="13">
        <f t="shared" si="16"/>
        <v>21520</v>
      </c>
      <c r="N165" s="13">
        <f t="shared" si="17"/>
        <v>0</v>
      </c>
      <c r="O165" s="13">
        <f t="shared" si="18"/>
        <v>21520</v>
      </c>
      <c r="P165" s="13">
        <f t="shared" si="19"/>
        <v>12912</v>
      </c>
      <c r="Q165" s="13">
        <f t="shared" si="20"/>
        <v>8608</v>
      </c>
      <c r="R165" s="10">
        <f t="shared" si="21"/>
        <v>0.4</v>
      </c>
      <c r="S165" t="str">
        <f t="shared" si="22"/>
        <v>May-2026</v>
      </c>
      <c r="T165" t="str">
        <f t="shared" si="23"/>
        <v>OK</v>
      </c>
    </row>
    <row r="166" spans="1:20">
      <c r="A166" t="str">
        <f>TRIM(Raw_Data!A166)</f>
        <v>ORD-10165</v>
      </c>
      <c r="B166" s="12">
        <f>IFERROR(IF(ISNUMBER(Raw_Data!B166),Raw_Data!B166,DATEVALUE(Raw_Data!B166)),"")</f>
        <v>46240</v>
      </c>
      <c r="C166" t="str">
        <f>PROPER(TRIM(Raw_Data!C166))</f>
        <v>Asha</v>
      </c>
      <c r="D166" t="str">
        <f>IF(TRIM(Raw_Data!D166)="Bangalore","Bengaluru",IF(TRIM(Raw_Data!D166)="Mysore","Mysuru",IF(TRIM(Raw_Data!D166)="Cochin","Kochi",PROPER(TRIM(Raw_Data!D166)))))</f>
        <v>Pune</v>
      </c>
      <c r="E166" t="str">
        <f>PROPER(TRIM(Raw_Data!E166))</f>
        <v>Retail Store</v>
      </c>
      <c r="F166" t="str">
        <f>PROPER(TRIM(Raw_Data!F166))</f>
        <v>Enterprise</v>
      </c>
      <c r="G166" t="str">
        <f>PROPER(TRIM(Raw_Data!G166))</f>
        <v>Headset</v>
      </c>
      <c r="H166" t="str">
        <f>PROPER(TRIM(Raw_Data!H166))</f>
        <v>Headset Wireless</v>
      </c>
      <c r="I166">
        <f>IFERROR(MAX(0,VALUE(Raw_Data!I166)),0)</f>
        <v>3</v>
      </c>
      <c r="J166" s="13">
        <f>IFERROR(VALUE(Raw_Data!J166),0)</f>
        <v>6539</v>
      </c>
      <c r="K166" s="14">
        <f>IFERROR(VALUE(Raw_Data!K166),0)</f>
        <v>0.15</v>
      </c>
      <c r="L166" t="str">
        <f>PROPER(TRIM(Raw_Data!L166))</f>
        <v>Delivered</v>
      </c>
      <c r="M166" s="13">
        <f t="shared" si="16"/>
        <v>19617</v>
      </c>
      <c r="N166" s="13">
        <f t="shared" si="17"/>
        <v>2942.55</v>
      </c>
      <c r="O166" s="13">
        <f t="shared" si="18"/>
        <v>16674.45</v>
      </c>
      <c r="P166" s="13">
        <f t="shared" si="19"/>
        <v>11770.2</v>
      </c>
      <c r="Q166" s="13">
        <f t="shared" si="20"/>
        <v>4904.25</v>
      </c>
      <c r="R166" s="10">
        <f t="shared" si="21"/>
        <v>0.294117647058824</v>
      </c>
      <c r="S166" t="str">
        <f t="shared" si="22"/>
        <v>Aug-2026</v>
      </c>
      <c r="T166" t="str">
        <f t="shared" si="23"/>
        <v>OK</v>
      </c>
    </row>
    <row r="167" spans="1:20">
      <c r="A167" t="str">
        <f>TRIM(Raw_Data!A167)</f>
        <v>ORD-10166</v>
      </c>
      <c r="B167" s="12">
        <f>IFERROR(IF(ISNUMBER(Raw_Data!B167),Raw_Data!B167,DATEVALUE(Raw_Data!B167)),"")</f>
        <v>46257</v>
      </c>
      <c r="C167" t="str">
        <f>PROPER(TRIM(Raw_Data!C167))</f>
        <v>Ravi</v>
      </c>
      <c r="D167" t="str">
        <f>IF(TRIM(Raw_Data!D167)="Bangalore","Bengaluru",IF(TRIM(Raw_Data!D167)="Mysore","Mysuru",IF(TRIM(Raw_Data!D167)="Cochin","Kochi",PROPER(TRIM(Raw_Data!D167)))))</f>
        <v>Delhi</v>
      </c>
      <c r="E167" t="str">
        <f>PROPER(TRIM(Raw_Data!E167))</f>
        <v>Retail Store</v>
      </c>
      <c r="F167" t="str">
        <f>PROPER(TRIM(Raw_Data!F167))</f>
        <v>Consumer</v>
      </c>
      <c r="G167" t="str">
        <f>PROPER(TRIM(Raw_Data!G167))</f>
        <v>Headset</v>
      </c>
      <c r="H167" t="str">
        <f>PROPER(TRIM(Raw_Data!H167))</f>
        <v>Headset Wireless</v>
      </c>
      <c r="I167">
        <f>IFERROR(MAX(0,VALUE(Raw_Data!I167)),0)</f>
        <v>1</v>
      </c>
      <c r="J167" s="13">
        <f>IFERROR(VALUE(Raw_Data!J167),0)</f>
        <v>4809</v>
      </c>
      <c r="K167" s="14">
        <f>IFERROR(VALUE(Raw_Data!K167),0)</f>
        <v>0.05</v>
      </c>
      <c r="L167" t="str">
        <f>PROPER(TRIM(Raw_Data!L167))</f>
        <v>Delivered</v>
      </c>
      <c r="M167" s="13">
        <f t="shared" si="16"/>
        <v>4809</v>
      </c>
      <c r="N167" s="13">
        <f t="shared" si="17"/>
        <v>240.45</v>
      </c>
      <c r="O167" s="13">
        <f t="shared" si="18"/>
        <v>4568.55</v>
      </c>
      <c r="P167" s="13">
        <f t="shared" si="19"/>
        <v>2885.4</v>
      </c>
      <c r="Q167" s="13">
        <f t="shared" si="20"/>
        <v>1683.15</v>
      </c>
      <c r="R167" s="10">
        <f t="shared" si="21"/>
        <v>0.368421052631579</v>
      </c>
      <c r="S167" t="str">
        <f t="shared" si="22"/>
        <v>Aug-2026</v>
      </c>
      <c r="T167" t="str">
        <f t="shared" si="23"/>
        <v>OK</v>
      </c>
    </row>
    <row r="168" spans="1:20">
      <c r="A168" t="str">
        <f>TRIM(Raw_Data!A168)</f>
        <v>ORD-10167</v>
      </c>
      <c r="B168" s="12">
        <f>IFERROR(IF(ISNUMBER(Raw_Data!B168),Raw_Data!B168,DATEVALUE(Raw_Data!B168)),"")</f>
        <v>46140</v>
      </c>
      <c r="C168" t="str">
        <f>PROPER(TRIM(Raw_Data!C168))</f>
        <v>Arjun</v>
      </c>
      <c r="D168" t="str">
        <f>IF(TRIM(Raw_Data!D168)="Bangalore","Bengaluru",IF(TRIM(Raw_Data!D168)="Mysore","Mysuru",IF(TRIM(Raw_Data!D168)="Cochin","Kochi",PROPER(TRIM(Raw_Data!D168)))))</f>
        <v>Mysuru</v>
      </c>
      <c r="E168" t="str">
        <f>PROPER(TRIM(Raw_Data!E168))</f>
        <v>Corporate</v>
      </c>
      <c r="F168" t="str">
        <f>PROPER(TRIM(Raw_Data!F168))</f>
        <v>Enterprise</v>
      </c>
      <c r="G168" t="str">
        <f>PROPER(TRIM(Raw_Data!G168))</f>
        <v>Headset</v>
      </c>
      <c r="H168" t="str">
        <f>PROPER(TRIM(Raw_Data!H168))</f>
        <v>Headset Pro</v>
      </c>
      <c r="I168">
        <f>IFERROR(MAX(0,VALUE(Raw_Data!I168)),0)</f>
        <v>4</v>
      </c>
      <c r="J168" s="13">
        <f>IFERROR(VALUE(Raw_Data!J168),0)</f>
        <v>6690</v>
      </c>
      <c r="K168" s="14">
        <f>IFERROR(VALUE(Raw_Data!K168),0)</f>
        <v>0.15</v>
      </c>
      <c r="L168" t="str">
        <f>PROPER(TRIM(Raw_Data!L168))</f>
        <v>Returned</v>
      </c>
      <c r="M168" s="13">
        <f t="shared" si="16"/>
        <v>26760</v>
      </c>
      <c r="N168" s="13">
        <f t="shared" si="17"/>
        <v>4014</v>
      </c>
      <c r="O168" s="13">
        <f t="shared" si="18"/>
        <v>22746</v>
      </c>
      <c r="P168" s="13">
        <f t="shared" si="19"/>
        <v>16056</v>
      </c>
      <c r="Q168" s="13">
        <f t="shared" si="20"/>
        <v>6690</v>
      </c>
      <c r="R168" s="10">
        <f t="shared" si="21"/>
        <v>0.294117647058824</v>
      </c>
      <c r="S168" t="str">
        <f t="shared" si="22"/>
        <v>Apr-2026</v>
      </c>
      <c r="T168" t="str">
        <f t="shared" si="23"/>
        <v>OK</v>
      </c>
    </row>
    <row r="169" spans="1:20">
      <c r="A169" t="str">
        <f>TRIM(Raw_Data!A169)</f>
        <v>ORD-10168</v>
      </c>
      <c r="B169" s="12">
        <f>IFERROR(IF(ISNUMBER(Raw_Data!B169),Raw_Data!B169,DATEVALUE(Raw_Data!B169)),"")</f>
        <v>46169</v>
      </c>
      <c r="C169" t="str">
        <f>PROPER(TRIM(Raw_Data!C169))</f>
        <v>Arjun</v>
      </c>
      <c r="D169" t="str">
        <f>IF(TRIM(Raw_Data!D169)="Bangalore","Bengaluru",IF(TRIM(Raw_Data!D169)="Mysore","Mysuru",IF(TRIM(Raw_Data!D169)="Cochin","Kochi",PROPER(TRIM(Raw_Data!D169)))))</f>
        <v>Pune</v>
      </c>
      <c r="E169" t="str">
        <f>PROPER(TRIM(Raw_Data!E169))</f>
        <v>Online</v>
      </c>
      <c r="F169" t="str">
        <f>PROPER(TRIM(Raw_Data!F169))</f>
        <v>Consumer</v>
      </c>
      <c r="G169" t="str">
        <f>PROPER(TRIM(Raw_Data!G169))</f>
        <v>Keyboard</v>
      </c>
      <c r="H169" t="str">
        <f>PROPER(TRIM(Raw_Data!H169))</f>
        <v>Keyboard Wireless</v>
      </c>
      <c r="I169">
        <f>IFERROR(MAX(0,VALUE(Raw_Data!I169)),0)</f>
        <v>4</v>
      </c>
      <c r="J169" s="13">
        <f>IFERROR(VALUE(Raw_Data!J169),0)</f>
        <v>3123</v>
      </c>
      <c r="K169" s="14">
        <f>IFERROR(VALUE(Raw_Data!K169),0)</f>
        <v>0.02</v>
      </c>
      <c r="L169" t="str">
        <f>PROPER(TRIM(Raw_Data!L169))</f>
        <v>Delivered</v>
      </c>
      <c r="M169" s="13">
        <f t="shared" si="16"/>
        <v>12492</v>
      </c>
      <c r="N169" s="13">
        <f t="shared" si="17"/>
        <v>249.84</v>
      </c>
      <c r="O169" s="13">
        <f t="shared" si="18"/>
        <v>12242.16</v>
      </c>
      <c r="P169" s="13">
        <f t="shared" si="19"/>
        <v>7245.36</v>
      </c>
      <c r="Q169" s="13">
        <f t="shared" si="20"/>
        <v>4996.8</v>
      </c>
      <c r="R169" s="10">
        <f t="shared" si="21"/>
        <v>0.408163265306122</v>
      </c>
      <c r="S169" t="str">
        <f t="shared" si="22"/>
        <v>May-2026</v>
      </c>
      <c r="T169" t="str">
        <f t="shared" si="23"/>
        <v>OK</v>
      </c>
    </row>
    <row r="170" spans="1:20">
      <c r="A170" t="str">
        <f>TRIM(Raw_Data!A170)</f>
        <v>ORD-10169</v>
      </c>
      <c r="B170" s="12">
        <f>IFERROR(IF(ISNUMBER(Raw_Data!B170),Raw_Data!B170,DATEVALUE(Raw_Data!B170)),"")</f>
        <v>46252</v>
      </c>
      <c r="C170" t="str">
        <f>PROPER(TRIM(Raw_Data!C170))</f>
        <v>Neha</v>
      </c>
      <c r="D170" t="str">
        <f>IF(TRIM(Raw_Data!D170)="Bangalore","Bengaluru",IF(TRIM(Raw_Data!D170)="Mysore","Mysuru",IF(TRIM(Raw_Data!D170)="Cochin","Kochi",PROPER(TRIM(Raw_Data!D170)))))</f>
        <v>Mysuru</v>
      </c>
      <c r="E170" t="str">
        <f>PROPER(TRIM(Raw_Data!E170))</f>
        <v>Retail Store</v>
      </c>
      <c r="F170" t="str">
        <f>PROPER(TRIM(Raw_Data!F170))</f>
        <v>Consumer</v>
      </c>
      <c r="G170" t="str">
        <f>PROPER(TRIM(Raw_Data!G170))</f>
        <v>Headset</v>
      </c>
      <c r="H170" t="str">
        <f>PROPER(TRIM(Raw_Data!H170))</f>
        <v>Headset Wireless</v>
      </c>
      <c r="I170">
        <f>IFERROR(MAX(0,VALUE(Raw_Data!I170)),0)</f>
        <v>3</v>
      </c>
      <c r="J170" s="13">
        <f>IFERROR(VALUE(Raw_Data!J170),0)</f>
        <v>0</v>
      </c>
      <c r="K170" s="14">
        <f>IFERROR(VALUE(Raw_Data!K170),0)</f>
        <v>0</v>
      </c>
      <c r="L170" t="str">
        <f>PROPER(TRIM(Raw_Data!L170))</f>
        <v>Cancelled</v>
      </c>
      <c r="M170" s="13">
        <f t="shared" si="16"/>
        <v>0</v>
      </c>
      <c r="N170" s="13">
        <f t="shared" si="17"/>
        <v>0</v>
      </c>
      <c r="O170" s="13">
        <f t="shared" si="18"/>
        <v>0</v>
      </c>
      <c r="P170" s="13">
        <f t="shared" si="19"/>
        <v>0</v>
      </c>
      <c r="Q170" s="13">
        <f t="shared" si="20"/>
        <v>0</v>
      </c>
      <c r="R170" s="10">
        <f t="shared" si="21"/>
        <v>0</v>
      </c>
      <c r="S170" t="str">
        <f t="shared" si="22"/>
        <v>Aug-2026</v>
      </c>
      <c r="T170" t="str">
        <f t="shared" si="23"/>
        <v>CHECK</v>
      </c>
    </row>
    <row r="171" spans="1:20">
      <c r="A171" t="str">
        <f>TRIM(Raw_Data!A171)</f>
        <v>ORD-10170</v>
      </c>
      <c r="B171" s="12">
        <f>IFERROR(IF(ISNUMBER(Raw_Data!B171),Raw_Data!B171,DATEVALUE(Raw_Data!B171)),"")</f>
        <v>46106</v>
      </c>
      <c r="C171" t="str">
        <f>PROPER(TRIM(Raw_Data!C171))</f>
        <v>Neha</v>
      </c>
      <c r="D171" t="str">
        <f>IF(TRIM(Raw_Data!D171)="Bangalore","Bengaluru",IF(TRIM(Raw_Data!D171)="Mysore","Mysuru",IF(TRIM(Raw_Data!D171)="Cochin","Kochi",PROPER(TRIM(Raw_Data!D171)))))</f>
        <v>Mumbai</v>
      </c>
      <c r="E171" t="str">
        <f>PROPER(TRIM(Raw_Data!E171))</f>
        <v>Retail Store</v>
      </c>
      <c r="F171" t="str">
        <f>PROPER(TRIM(Raw_Data!F171))</f>
        <v>Enterprise</v>
      </c>
      <c r="G171" t="str">
        <f>PROPER(TRIM(Raw_Data!G171))</f>
        <v>Keyboard</v>
      </c>
      <c r="H171" t="str">
        <f>PROPER(TRIM(Raw_Data!H171))</f>
        <v>Keyboard Office</v>
      </c>
      <c r="I171">
        <f>IFERROR(MAX(0,VALUE(Raw_Data!I171)),0)</f>
        <v>8</v>
      </c>
      <c r="J171" s="13">
        <f>IFERROR(VALUE(Raw_Data!J171),0)</f>
        <v>3353</v>
      </c>
      <c r="K171" s="14">
        <f>IFERROR(VALUE(Raw_Data!K171),0)</f>
        <v>0.1</v>
      </c>
      <c r="L171" t="str">
        <f>PROPER(TRIM(Raw_Data!L171))</f>
        <v>Delivered</v>
      </c>
      <c r="M171" s="13">
        <f t="shared" si="16"/>
        <v>26824</v>
      </c>
      <c r="N171" s="13">
        <f t="shared" si="17"/>
        <v>2682.4</v>
      </c>
      <c r="O171" s="13">
        <f t="shared" si="18"/>
        <v>24141.6</v>
      </c>
      <c r="P171" s="13">
        <f t="shared" si="19"/>
        <v>15557.92</v>
      </c>
      <c r="Q171" s="13">
        <f t="shared" si="20"/>
        <v>8583.68</v>
      </c>
      <c r="R171" s="10">
        <f t="shared" si="21"/>
        <v>0.355555555555556</v>
      </c>
      <c r="S171" t="str">
        <f t="shared" si="22"/>
        <v>Mar-2026</v>
      </c>
      <c r="T171" t="str">
        <f t="shared" si="23"/>
        <v>OK</v>
      </c>
    </row>
    <row r="172" spans="1:20">
      <c r="A172" t="str">
        <f>TRIM(Raw_Data!A172)</f>
        <v>ORD-10171</v>
      </c>
      <c r="B172" s="12">
        <f>IFERROR(IF(ISNUMBER(Raw_Data!B172),Raw_Data!B172,DATEVALUE(Raw_Data!B172)),"")</f>
        <v>46242</v>
      </c>
      <c r="C172" t="str">
        <f>PROPER(TRIM(Raw_Data!C172))</f>
        <v>Arjun</v>
      </c>
      <c r="D172" t="str">
        <f>IF(TRIM(Raw_Data!D172)="Bangalore","Bengaluru",IF(TRIM(Raw_Data!D172)="Mysore","Mysuru",IF(TRIM(Raw_Data!D172)="Cochin","Kochi",PROPER(TRIM(Raw_Data!D172)))))</f>
        <v>Hyderabad</v>
      </c>
      <c r="E172" t="str">
        <f>PROPER(TRIM(Raw_Data!E172))</f>
        <v>Corporate</v>
      </c>
      <c r="F172" t="str">
        <f>PROPER(TRIM(Raw_Data!F172))</f>
        <v>Smb</v>
      </c>
      <c r="G172" t="str">
        <f>PROPER(TRIM(Raw_Data!G172))</f>
        <v>Mouse</v>
      </c>
      <c r="H172" t="str">
        <f>PROPER(TRIM(Raw_Data!H172))</f>
        <v>Mouse Wireless</v>
      </c>
      <c r="I172">
        <f>IFERROR(MAX(0,VALUE(Raw_Data!I172)),0)</f>
        <v>8</v>
      </c>
      <c r="J172" s="13">
        <f>IFERROR(VALUE(Raw_Data!J172),0)</f>
        <v>1423</v>
      </c>
      <c r="K172" s="14">
        <f>IFERROR(VALUE(Raw_Data!K172),0)</f>
        <v>0.02</v>
      </c>
      <c r="L172" t="str">
        <f>PROPER(TRIM(Raw_Data!L172))</f>
        <v>Returned</v>
      </c>
      <c r="M172" s="13">
        <f t="shared" si="16"/>
        <v>11384</v>
      </c>
      <c r="N172" s="13">
        <f t="shared" si="17"/>
        <v>227.68</v>
      </c>
      <c r="O172" s="13">
        <f t="shared" si="18"/>
        <v>11156.32</v>
      </c>
      <c r="P172" s="13">
        <f t="shared" si="19"/>
        <v>6261.2</v>
      </c>
      <c r="Q172" s="13">
        <f t="shared" si="20"/>
        <v>4895.12</v>
      </c>
      <c r="R172" s="10">
        <f t="shared" si="21"/>
        <v>0.438775510204082</v>
      </c>
      <c r="S172" t="str">
        <f t="shared" si="22"/>
        <v>Aug-2026</v>
      </c>
      <c r="T172" t="str">
        <f t="shared" si="23"/>
        <v>OK</v>
      </c>
    </row>
    <row r="173" spans="1:20">
      <c r="A173" t="str">
        <f>TRIM(Raw_Data!A173)</f>
        <v>ORD-10172</v>
      </c>
      <c r="B173" s="12">
        <f>IFERROR(IF(ISNUMBER(Raw_Data!B173),Raw_Data!B173,DATEVALUE(Raw_Data!B173)),"")</f>
        <v>46166</v>
      </c>
      <c r="C173" t="str">
        <f>PROPER(TRIM(Raw_Data!C173))</f>
        <v>Priya</v>
      </c>
      <c r="D173" t="str">
        <f>IF(TRIM(Raw_Data!D173)="Bangalore","Bengaluru",IF(TRIM(Raw_Data!D173)="Mysore","Mysuru",IF(TRIM(Raw_Data!D173)="Cochin","Kochi",PROPER(TRIM(Raw_Data!D173)))))</f>
        <v>New Delhi</v>
      </c>
      <c r="E173" t="str">
        <f>PROPER(TRIM(Raw_Data!E173))</f>
        <v>Retail Store</v>
      </c>
      <c r="F173" t="str">
        <f>PROPER(TRIM(Raw_Data!F173))</f>
        <v>Enterprise</v>
      </c>
      <c r="G173" t="str">
        <f>PROPER(TRIM(Raw_Data!G173))</f>
        <v>Headset</v>
      </c>
      <c r="H173" t="str">
        <f>PROPER(TRIM(Raw_Data!H173))</f>
        <v>Headset Wireless</v>
      </c>
      <c r="I173">
        <f>IFERROR(MAX(0,VALUE(Raw_Data!I173)),0)</f>
        <v>4</v>
      </c>
      <c r="J173" s="13">
        <f>IFERROR(VALUE(Raw_Data!J173),0)</f>
        <v>7067</v>
      </c>
      <c r="K173" s="14">
        <f>IFERROR(VALUE(Raw_Data!K173),0)</f>
        <v>0.1</v>
      </c>
      <c r="L173" t="str">
        <f>PROPER(TRIM(Raw_Data!L173))</f>
        <v>Cancelled</v>
      </c>
      <c r="M173" s="13">
        <f t="shared" si="16"/>
        <v>28268</v>
      </c>
      <c r="N173" s="13">
        <f t="shared" si="17"/>
        <v>2826.8</v>
      </c>
      <c r="O173" s="13">
        <f t="shared" si="18"/>
        <v>25441.2</v>
      </c>
      <c r="P173" s="13">
        <f t="shared" si="19"/>
        <v>16960.8</v>
      </c>
      <c r="Q173" s="13">
        <f t="shared" si="20"/>
        <v>8480.4</v>
      </c>
      <c r="R173" s="10">
        <f t="shared" si="21"/>
        <v>0.333333333333333</v>
      </c>
      <c r="S173" t="str">
        <f t="shared" si="22"/>
        <v>May-2026</v>
      </c>
      <c r="T173" t="str">
        <f t="shared" si="23"/>
        <v>OK</v>
      </c>
    </row>
    <row r="174" spans="1:20">
      <c r="A174" t="str">
        <f>TRIM(Raw_Data!A174)</f>
        <v>ORD-10173</v>
      </c>
      <c r="B174" s="12">
        <f>IFERROR(IF(ISNUMBER(Raw_Data!B174),Raw_Data!B174,DATEVALUE(Raw_Data!B174)),"")</f>
        <v>46109</v>
      </c>
      <c r="C174" t="str">
        <f>PROPER(TRIM(Raw_Data!C174))</f>
        <v>Bhoomika</v>
      </c>
      <c r="D174" t="str">
        <f>IF(TRIM(Raw_Data!D174)="Bangalore","Bengaluru",IF(TRIM(Raw_Data!D174)="Mysore","Mysuru",IF(TRIM(Raw_Data!D174)="Cochin","Kochi",PROPER(TRIM(Raw_Data!D174)))))</f>
        <v>Kochi</v>
      </c>
      <c r="E174" t="str">
        <f>PROPER(TRIM(Raw_Data!E174))</f>
        <v>Retail Store</v>
      </c>
      <c r="F174" t="str">
        <f>PROPER(TRIM(Raw_Data!F174))</f>
        <v>Enterprise</v>
      </c>
      <c r="G174" t="str">
        <f>PROPER(TRIM(Raw_Data!G174))</f>
        <v>Mouse</v>
      </c>
      <c r="H174" t="str">
        <f>PROPER(TRIM(Raw_Data!H174))</f>
        <v>Mouse Basic</v>
      </c>
      <c r="I174">
        <f>IFERROR(MAX(0,VALUE(Raw_Data!I174)),0)</f>
        <v>6</v>
      </c>
      <c r="J174" s="13">
        <f>IFERROR(VALUE(Raw_Data!J174),0)</f>
        <v>2107</v>
      </c>
      <c r="K174" s="14">
        <f>IFERROR(VALUE(Raw_Data!K174),0)</f>
        <v>0.05</v>
      </c>
      <c r="L174" t="str">
        <f>PROPER(TRIM(Raw_Data!L174))</f>
        <v>Returned</v>
      </c>
      <c r="M174" s="13">
        <f t="shared" si="16"/>
        <v>12642</v>
      </c>
      <c r="N174" s="13">
        <f t="shared" si="17"/>
        <v>632.1</v>
      </c>
      <c r="O174" s="13">
        <f t="shared" si="18"/>
        <v>12009.9</v>
      </c>
      <c r="P174" s="13">
        <f t="shared" si="19"/>
        <v>6953.1</v>
      </c>
      <c r="Q174" s="13">
        <f t="shared" si="20"/>
        <v>5056.8</v>
      </c>
      <c r="R174" s="10">
        <f t="shared" si="21"/>
        <v>0.421052631578947</v>
      </c>
      <c r="S174" t="str">
        <f t="shared" si="22"/>
        <v>Mar-2026</v>
      </c>
      <c r="T174" t="str">
        <f t="shared" si="23"/>
        <v>OK</v>
      </c>
    </row>
    <row r="175" spans="1:20">
      <c r="A175" t="str">
        <f>TRIM(Raw_Data!A175)</f>
        <v>ORD-10174</v>
      </c>
      <c r="B175" s="12">
        <f>IFERROR(IF(ISNUMBER(Raw_Data!B175),Raw_Data!B175,DATEVALUE(Raw_Data!B175)),"")</f>
        <v>46043</v>
      </c>
      <c r="C175" t="str">
        <f>PROPER(TRIM(Raw_Data!C175))</f>
        <v>Ravi</v>
      </c>
      <c r="D175" t="str">
        <f>IF(TRIM(Raw_Data!D175)="Bangalore","Bengaluru",IF(TRIM(Raw_Data!D175)="Mysore","Mysuru",IF(TRIM(Raw_Data!D175)="Cochin","Kochi",PROPER(TRIM(Raw_Data!D175)))))</f>
        <v>Kochi</v>
      </c>
      <c r="E175" t="str">
        <f>PROPER(TRIM(Raw_Data!E175))</f>
        <v>Online</v>
      </c>
      <c r="F175" t="str">
        <f>PROPER(TRIM(Raw_Data!F175))</f>
        <v>Enterprise</v>
      </c>
      <c r="G175" t="str">
        <f>PROPER(TRIM(Raw_Data!G175))</f>
        <v>Monitor</v>
      </c>
      <c r="H175" t="str">
        <f>PROPER(TRIM(Raw_Data!H175))</f>
        <v>Monitor 24</v>
      </c>
      <c r="I175">
        <f>IFERROR(MAX(0,VALUE(Raw_Data!I175)),0)</f>
        <v>1</v>
      </c>
      <c r="J175" s="13">
        <f>IFERROR(VALUE(Raw_Data!J175),0)</f>
        <v>12131</v>
      </c>
      <c r="K175" s="14">
        <f>IFERROR(VALUE(Raw_Data!K175),0)</f>
        <v>0</v>
      </c>
      <c r="L175" t="str">
        <f>PROPER(TRIM(Raw_Data!L175))</f>
        <v>Pending</v>
      </c>
      <c r="M175" s="13">
        <f t="shared" si="16"/>
        <v>12131</v>
      </c>
      <c r="N175" s="13">
        <f t="shared" si="17"/>
        <v>0</v>
      </c>
      <c r="O175" s="13">
        <f t="shared" si="18"/>
        <v>12131</v>
      </c>
      <c r="P175" s="13">
        <f t="shared" si="19"/>
        <v>8491.7</v>
      </c>
      <c r="Q175" s="13">
        <f t="shared" si="20"/>
        <v>3639.3</v>
      </c>
      <c r="R175" s="10">
        <f t="shared" si="21"/>
        <v>0.3</v>
      </c>
      <c r="S175" t="str">
        <f t="shared" si="22"/>
        <v>Jan-2026</v>
      </c>
      <c r="T175" t="str">
        <f t="shared" si="23"/>
        <v>OK</v>
      </c>
    </row>
    <row r="176" spans="1:20">
      <c r="A176" t="str">
        <f>TRIM(Raw_Data!A176)</f>
        <v>ORD-10175</v>
      </c>
      <c r="B176" s="12">
        <f>IFERROR(IF(ISNUMBER(Raw_Data!B176),Raw_Data!B176,DATEVALUE(Raw_Data!B176)),"")</f>
        <v>46257</v>
      </c>
      <c r="C176" t="str">
        <f>PROPER(TRIM(Raw_Data!C176))</f>
        <v>Kiran</v>
      </c>
      <c r="D176" t="str">
        <f>IF(TRIM(Raw_Data!D176)="Bangalore","Bengaluru",IF(TRIM(Raw_Data!D176)="Mysore","Mysuru",IF(TRIM(Raw_Data!D176)="Cochin","Kochi",PROPER(TRIM(Raw_Data!D176)))))</f>
        <v>Mysuru</v>
      </c>
      <c r="E176" t="str">
        <f>PROPER(TRIM(Raw_Data!E176))</f>
        <v>Retail Store</v>
      </c>
      <c r="F176" t="str">
        <f>PROPER(TRIM(Raw_Data!F176))</f>
        <v>Enterprise</v>
      </c>
      <c r="G176" t="str">
        <f>PROPER(TRIM(Raw_Data!G176))</f>
        <v>Keyboard</v>
      </c>
      <c r="H176" t="str">
        <f>PROPER(TRIM(Raw_Data!H176))</f>
        <v>Keyboard Mechanical</v>
      </c>
      <c r="I176">
        <f>IFERROR(MAX(0,VALUE(Raw_Data!I176)),0)</f>
        <v>3</v>
      </c>
      <c r="J176" s="13">
        <f>IFERROR(VALUE(Raw_Data!J176),0)</f>
        <v>0</v>
      </c>
      <c r="K176" s="14">
        <f>IFERROR(VALUE(Raw_Data!K176),0)</f>
        <v>0.1</v>
      </c>
      <c r="L176" t="str">
        <f>PROPER(TRIM(Raw_Data!L176))</f>
        <v>Cancelled</v>
      </c>
      <c r="M176" s="13">
        <f t="shared" si="16"/>
        <v>0</v>
      </c>
      <c r="N176" s="13">
        <f t="shared" si="17"/>
        <v>0</v>
      </c>
      <c r="O176" s="13">
        <f t="shared" si="18"/>
        <v>0</v>
      </c>
      <c r="P176" s="13">
        <f t="shared" si="19"/>
        <v>0</v>
      </c>
      <c r="Q176" s="13">
        <f t="shared" si="20"/>
        <v>0</v>
      </c>
      <c r="R176" s="10">
        <f t="shared" si="21"/>
        <v>0</v>
      </c>
      <c r="S176" t="str">
        <f t="shared" si="22"/>
        <v>Aug-2026</v>
      </c>
      <c r="T176" t="str">
        <f t="shared" si="23"/>
        <v>CHECK</v>
      </c>
    </row>
    <row r="177" spans="1:20">
      <c r="A177" t="str">
        <f>TRIM(Raw_Data!A177)</f>
        <v>ORD-10176</v>
      </c>
      <c r="B177" s="12">
        <f>IFERROR(IF(ISNUMBER(Raw_Data!B177),Raw_Data!B177,DATEVALUE(Raw_Data!B177)),"")</f>
        <v>46111</v>
      </c>
      <c r="C177" t="str">
        <f>PROPER(TRIM(Raw_Data!C177))</f>
        <v>Arjun</v>
      </c>
      <c r="D177" t="str">
        <f>IF(TRIM(Raw_Data!D177)="Bangalore","Bengaluru",IF(TRIM(Raw_Data!D177)="Mysore","Mysuru",IF(TRIM(Raw_Data!D177)="Cochin","Kochi",PROPER(TRIM(Raw_Data!D177)))))</f>
        <v>Bengaluru</v>
      </c>
      <c r="E177" t="str">
        <f>PROPER(TRIM(Raw_Data!E177))</f>
        <v>Retail Store</v>
      </c>
      <c r="F177" t="str">
        <f>PROPER(TRIM(Raw_Data!F177))</f>
        <v>Smb</v>
      </c>
      <c r="G177" t="str">
        <f>PROPER(TRIM(Raw_Data!G177))</f>
        <v>Keyboard</v>
      </c>
      <c r="H177" t="str">
        <f>PROPER(TRIM(Raw_Data!H177))</f>
        <v>Keyboard Mechanical</v>
      </c>
      <c r="I177">
        <f>IFERROR(MAX(0,VALUE(Raw_Data!I177)),0)</f>
        <v>5</v>
      </c>
      <c r="J177" s="13">
        <f>IFERROR(VALUE(Raw_Data!J177),0)</f>
        <v>3654</v>
      </c>
      <c r="K177" s="14">
        <f>IFERROR(VALUE(Raw_Data!K177),0)</f>
        <v>0.1</v>
      </c>
      <c r="L177" t="str">
        <f>PROPER(TRIM(Raw_Data!L177))</f>
        <v>Delivered</v>
      </c>
      <c r="M177" s="13">
        <f t="shared" si="16"/>
        <v>18270</v>
      </c>
      <c r="N177" s="13">
        <f t="shared" si="17"/>
        <v>1827</v>
      </c>
      <c r="O177" s="13">
        <f t="shared" si="18"/>
        <v>16443</v>
      </c>
      <c r="P177" s="13">
        <f t="shared" si="19"/>
        <v>10596.6</v>
      </c>
      <c r="Q177" s="13">
        <f t="shared" si="20"/>
        <v>5846.4</v>
      </c>
      <c r="R177" s="10">
        <f t="shared" si="21"/>
        <v>0.355555555555556</v>
      </c>
      <c r="S177" t="str">
        <f t="shared" si="22"/>
        <v>Mar-2026</v>
      </c>
      <c r="T177" t="str">
        <f t="shared" si="23"/>
        <v>OK</v>
      </c>
    </row>
    <row r="178" spans="1:20">
      <c r="A178" t="str">
        <f>TRIM(Raw_Data!A178)</f>
        <v>ORD-10177</v>
      </c>
      <c r="B178" s="12">
        <f>IFERROR(IF(ISNUMBER(Raw_Data!B178),Raw_Data!B178,DATEVALUE(Raw_Data!B178)),"")</f>
        <v>46200</v>
      </c>
      <c r="C178" t="str">
        <f>PROPER(TRIM(Raw_Data!C178))</f>
        <v>Neha</v>
      </c>
      <c r="D178" t="str">
        <f>IF(TRIM(Raw_Data!D178)="Bangalore","Bengaluru",IF(TRIM(Raw_Data!D178)="Mysore","Mysuru",IF(TRIM(Raw_Data!D178)="Cochin","Kochi",PROPER(TRIM(Raw_Data!D178)))))</f>
        <v>Mumbai</v>
      </c>
      <c r="E178" t="str">
        <f>PROPER(TRIM(Raw_Data!E178))</f>
        <v>Online</v>
      </c>
      <c r="F178" t="str">
        <f>PROPER(TRIM(Raw_Data!F178))</f>
        <v>Smb</v>
      </c>
      <c r="G178" t="str">
        <f>PROPER(TRIM(Raw_Data!G178))</f>
        <v>Keyboard</v>
      </c>
      <c r="H178" t="str">
        <f>PROPER(TRIM(Raw_Data!H178))</f>
        <v>Keyboard Mechanical</v>
      </c>
      <c r="I178">
        <f>IFERROR(MAX(0,VALUE(Raw_Data!I178)),0)</f>
        <v>5</v>
      </c>
      <c r="J178" s="13">
        <f>IFERROR(VALUE(Raw_Data!J178),0)</f>
        <v>1760</v>
      </c>
      <c r="K178" s="14">
        <f>IFERROR(VALUE(Raw_Data!K178),0)</f>
        <v>0</v>
      </c>
      <c r="L178" t="str">
        <f>PROPER(TRIM(Raw_Data!L178))</f>
        <v>Returned</v>
      </c>
      <c r="M178" s="13">
        <f t="shared" si="16"/>
        <v>8800</v>
      </c>
      <c r="N178" s="13">
        <f t="shared" si="17"/>
        <v>0</v>
      </c>
      <c r="O178" s="13">
        <f t="shared" si="18"/>
        <v>8800</v>
      </c>
      <c r="P178" s="13">
        <f t="shared" si="19"/>
        <v>5104</v>
      </c>
      <c r="Q178" s="13">
        <f t="shared" si="20"/>
        <v>3696</v>
      </c>
      <c r="R178" s="10">
        <f t="shared" si="21"/>
        <v>0.42</v>
      </c>
      <c r="S178" t="str">
        <f t="shared" si="22"/>
        <v>Jun-2026</v>
      </c>
      <c r="T178" t="str">
        <f t="shared" si="23"/>
        <v>OK</v>
      </c>
    </row>
    <row r="179" spans="1:20">
      <c r="A179" t="str">
        <f>TRIM(Raw_Data!A179)</f>
        <v>ORD-10178</v>
      </c>
      <c r="B179" s="12">
        <f>IFERROR(IF(ISNUMBER(Raw_Data!B179),Raw_Data!B179,DATEVALUE(Raw_Data!B179)),"")</f>
        <v>46149</v>
      </c>
      <c r="C179" t="str">
        <f>PROPER(TRIM(Raw_Data!C179))</f>
        <v>Priya</v>
      </c>
      <c r="D179" t="str">
        <f>IF(TRIM(Raw_Data!D179)="Bangalore","Bengaluru",IF(TRIM(Raw_Data!D179)="Mysore","Mysuru",IF(TRIM(Raw_Data!D179)="Cochin","Kochi",PROPER(TRIM(Raw_Data!D179)))))</f>
        <v>Kochi</v>
      </c>
      <c r="E179" t="str">
        <f>PROPER(TRIM(Raw_Data!E179))</f>
        <v>Online</v>
      </c>
      <c r="F179" t="str">
        <f>PROPER(TRIM(Raw_Data!F179))</f>
        <v>Smb</v>
      </c>
      <c r="G179" t="str">
        <f>PROPER(TRIM(Raw_Data!G179))</f>
        <v>Monitor</v>
      </c>
      <c r="H179" t="str">
        <f>PROPER(TRIM(Raw_Data!H179))</f>
        <v>Monitor 27</v>
      </c>
      <c r="I179">
        <f>IFERROR(MAX(0,VALUE(Raw_Data!I179)),0)</f>
        <v>1</v>
      </c>
      <c r="J179" s="13">
        <f>IFERROR(VALUE(Raw_Data!J179),0)</f>
        <v>25331</v>
      </c>
      <c r="K179" s="14">
        <f>IFERROR(VALUE(Raw_Data!K179),0)</f>
        <v>0.05</v>
      </c>
      <c r="L179" t="str">
        <f>PROPER(TRIM(Raw_Data!L179))</f>
        <v>Delivered</v>
      </c>
      <c r="M179" s="13">
        <f t="shared" si="16"/>
        <v>25331</v>
      </c>
      <c r="N179" s="13">
        <f t="shared" si="17"/>
        <v>1266.55</v>
      </c>
      <c r="O179" s="13">
        <f t="shared" si="18"/>
        <v>24064.45</v>
      </c>
      <c r="P179" s="13">
        <f t="shared" si="19"/>
        <v>17731.7</v>
      </c>
      <c r="Q179" s="13">
        <f t="shared" si="20"/>
        <v>6332.75</v>
      </c>
      <c r="R179" s="10">
        <f t="shared" si="21"/>
        <v>0.263157894736842</v>
      </c>
      <c r="S179" t="str">
        <f t="shared" si="22"/>
        <v>May-2026</v>
      </c>
      <c r="T179" t="str">
        <f t="shared" si="23"/>
        <v>OK</v>
      </c>
    </row>
    <row r="180" spans="1:20">
      <c r="A180" t="str">
        <f>TRIM(Raw_Data!A180)</f>
        <v>ORD-10179</v>
      </c>
      <c r="B180" s="12">
        <f>IFERROR(IF(ISNUMBER(Raw_Data!B180),Raw_Data!B180,DATEVALUE(Raw_Data!B180)),"")</f>
        <v>46211</v>
      </c>
      <c r="C180" t="str">
        <f>PROPER(TRIM(Raw_Data!C180))</f>
        <v>Asha</v>
      </c>
      <c r="D180" t="str">
        <f>IF(TRIM(Raw_Data!D180)="Bangalore","Bengaluru",IF(TRIM(Raw_Data!D180)="Mysore","Mysuru",IF(TRIM(Raw_Data!D180)="Cochin","Kochi",PROPER(TRIM(Raw_Data!D180)))))</f>
        <v>Mysuru</v>
      </c>
      <c r="E180" t="str">
        <f>PROPER(TRIM(Raw_Data!E180))</f>
        <v>Online</v>
      </c>
      <c r="F180" t="str">
        <f>PROPER(TRIM(Raw_Data!F180))</f>
        <v>Consumer</v>
      </c>
      <c r="G180" t="str">
        <f>PROPER(TRIM(Raw_Data!G180))</f>
        <v>Laptop</v>
      </c>
      <c r="H180" t="str">
        <f>PROPER(TRIM(Raw_Data!H180))</f>
        <v>Laptop Pro 14</v>
      </c>
      <c r="I180">
        <f>IFERROR(MAX(0,VALUE(Raw_Data!I180)),0)</f>
        <v>5</v>
      </c>
      <c r="J180" s="13">
        <f>IFERROR(VALUE(Raw_Data!J180),0)</f>
        <v>51157</v>
      </c>
      <c r="K180" s="14">
        <f>IFERROR(VALUE(Raw_Data!K180),0)</f>
        <v>0.05</v>
      </c>
      <c r="L180" t="str">
        <f>PROPER(TRIM(Raw_Data!L180))</f>
        <v>Delivered</v>
      </c>
      <c r="M180" s="13">
        <f t="shared" si="16"/>
        <v>255785</v>
      </c>
      <c r="N180" s="13">
        <f t="shared" si="17"/>
        <v>12789.25</v>
      </c>
      <c r="O180" s="13">
        <f t="shared" si="18"/>
        <v>242995.75</v>
      </c>
      <c r="P180" s="13">
        <f t="shared" si="19"/>
        <v>199512.3</v>
      </c>
      <c r="Q180" s="13">
        <f t="shared" si="20"/>
        <v>43483.45</v>
      </c>
      <c r="R180" s="10">
        <f t="shared" si="21"/>
        <v>0.178947368421053</v>
      </c>
      <c r="S180" t="str">
        <f t="shared" si="22"/>
        <v>Jul-2026</v>
      </c>
      <c r="T180" t="str">
        <f t="shared" si="23"/>
        <v>OK</v>
      </c>
    </row>
    <row r="181" spans="1:20">
      <c r="A181" t="str">
        <f>TRIM(Raw_Data!A181)</f>
        <v>ORD-10180</v>
      </c>
      <c r="B181" s="12">
        <f>IFERROR(IF(ISNUMBER(Raw_Data!B181),Raw_Data!B181,DATEVALUE(Raw_Data!B181)),"")</f>
        <v>46093</v>
      </c>
      <c r="C181" t="str">
        <f>PROPER(TRIM(Raw_Data!C181))</f>
        <v>Ravi</v>
      </c>
      <c r="D181" t="str">
        <f>IF(TRIM(Raw_Data!D181)="Bangalore","Bengaluru",IF(TRIM(Raw_Data!D181)="Mysore","Mysuru",IF(TRIM(Raw_Data!D181)="Cochin","Kochi",PROPER(TRIM(Raw_Data!D181)))))</f>
        <v>Kochi</v>
      </c>
      <c r="E181" t="str">
        <f>PROPER(TRIM(Raw_Data!E181))</f>
        <v>Corporate</v>
      </c>
      <c r="F181" t="str">
        <f>PROPER(TRIM(Raw_Data!F181))</f>
        <v>Consumer</v>
      </c>
      <c r="G181" t="str">
        <f>PROPER(TRIM(Raw_Data!G181))</f>
        <v>Headset</v>
      </c>
      <c r="H181" t="str">
        <f>PROPER(TRIM(Raw_Data!H181))</f>
        <v>Headset Pro</v>
      </c>
      <c r="I181">
        <f>IFERROR(MAX(0,VALUE(Raw_Data!I181)),0)</f>
        <v>8</v>
      </c>
      <c r="J181" s="13">
        <f>IFERROR(VALUE(Raw_Data!J181),0)</f>
        <v>7158</v>
      </c>
      <c r="K181" s="14">
        <f>IFERROR(VALUE(Raw_Data!K181),0)</f>
        <v>0.15</v>
      </c>
      <c r="L181" t="str">
        <f>PROPER(TRIM(Raw_Data!L181))</f>
        <v>Cancelled</v>
      </c>
      <c r="M181" s="13">
        <f t="shared" si="16"/>
        <v>57264</v>
      </c>
      <c r="N181" s="13">
        <f t="shared" si="17"/>
        <v>8589.6</v>
      </c>
      <c r="O181" s="13">
        <f t="shared" si="18"/>
        <v>48674.4</v>
      </c>
      <c r="P181" s="13">
        <f t="shared" si="19"/>
        <v>34358.4</v>
      </c>
      <c r="Q181" s="13">
        <f t="shared" si="20"/>
        <v>14316</v>
      </c>
      <c r="R181" s="10">
        <f t="shared" si="21"/>
        <v>0.294117647058824</v>
      </c>
      <c r="S181" t="str">
        <f t="shared" si="22"/>
        <v>Mar-2026</v>
      </c>
      <c r="T181" t="str">
        <f t="shared" si="23"/>
        <v>OK</v>
      </c>
    </row>
    <row r="182" spans="1:20">
      <c r="A182" t="str">
        <f>TRIM(Raw_Data!A182)</f>
        <v>ORD-10181</v>
      </c>
      <c r="B182" s="12">
        <f>IFERROR(IF(ISNUMBER(Raw_Data!B182),Raw_Data!B182,DATEVALUE(Raw_Data!B182)),"")</f>
        <v>46216</v>
      </c>
      <c r="C182" t="str">
        <f>PROPER(TRIM(Raw_Data!C182))</f>
        <v>Bhoomika</v>
      </c>
      <c r="D182" t="str">
        <f>IF(TRIM(Raw_Data!D182)="Bangalore","Bengaluru",IF(TRIM(Raw_Data!D182)="Mysore","Mysuru",IF(TRIM(Raw_Data!D182)="Cochin","Kochi",PROPER(TRIM(Raw_Data!D182)))))</f>
        <v>Pune</v>
      </c>
      <c r="E182" t="str">
        <f>PROPER(TRIM(Raw_Data!E182))</f>
        <v>Corporate</v>
      </c>
      <c r="F182" t="str">
        <f>PROPER(TRIM(Raw_Data!F182))</f>
        <v>Enterprise</v>
      </c>
      <c r="G182" t="str">
        <f>PROPER(TRIM(Raw_Data!G182))</f>
        <v>Keyboard</v>
      </c>
      <c r="H182" t="str">
        <f>PROPER(TRIM(Raw_Data!H182))</f>
        <v>Keyboard Mechanical</v>
      </c>
      <c r="I182">
        <f>IFERROR(MAX(0,VALUE(Raw_Data!I182)),0)</f>
        <v>1</v>
      </c>
      <c r="J182" s="13">
        <f>IFERROR(VALUE(Raw_Data!J182),0)</f>
        <v>4134</v>
      </c>
      <c r="K182" s="14">
        <f>IFERROR(VALUE(Raw_Data!K182),0)</f>
        <v>0.08</v>
      </c>
      <c r="L182" t="str">
        <f>PROPER(TRIM(Raw_Data!L182))</f>
        <v>Returned</v>
      </c>
      <c r="M182" s="13">
        <f t="shared" si="16"/>
        <v>4134</v>
      </c>
      <c r="N182" s="13">
        <f t="shared" si="17"/>
        <v>330.72</v>
      </c>
      <c r="O182" s="13">
        <f t="shared" si="18"/>
        <v>3803.28</v>
      </c>
      <c r="P182" s="13">
        <f t="shared" si="19"/>
        <v>2397.72</v>
      </c>
      <c r="Q182" s="13">
        <f t="shared" si="20"/>
        <v>1405.56</v>
      </c>
      <c r="R182" s="10">
        <f t="shared" si="21"/>
        <v>0.369565217391304</v>
      </c>
      <c r="S182" t="str">
        <f t="shared" si="22"/>
        <v>Jul-2026</v>
      </c>
      <c r="T182" t="str">
        <f t="shared" si="23"/>
        <v>OK</v>
      </c>
    </row>
    <row r="183" spans="1:20">
      <c r="A183" t="str">
        <f>TRIM(Raw_Data!A183)</f>
        <v>ORD-10182</v>
      </c>
      <c r="B183" s="12">
        <f>IFERROR(IF(ISNUMBER(Raw_Data!B183),Raw_Data!B183,DATEVALUE(Raw_Data!B183)),"")</f>
        <v>46090</v>
      </c>
      <c r="C183" t="str">
        <f>PROPER(TRIM(Raw_Data!C183))</f>
        <v>Ravi</v>
      </c>
      <c r="D183" t="str">
        <f>IF(TRIM(Raw_Data!D183)="Bangalore","Bengaluru",IF(TRIM(Raw_Data!D183)="Mysore","Mysuru",IF(TRIM(Raw_Data!D183)="Cochin","Kochi",PROPER(TRIM(Raw_Data!D183)))))</f>
        <v>Mysuru</v>
      </c>
      <c r="E183" t="str">
        <f>PROPER(TRIM(Raw_Data!E183))</f>
        <v>Retail Store</v>
      </c>
      <c r="F183" t="str">
        <f>PROPER(TRIM(Raw_Data!F183))</f>
        <v>Consumer</v>
      </c>
      <c r="G183" t="str">
        <f>PROPER(TRIM(Raw_Data!G183))</f>
        <v>Headset</v>
      </c>
      <c r="H183" t="str">
        <f>PROPER(TRIM(Raw_Data!H183))</f>
        <v>Headset Wireless</v>
      </c>
      <c r="I183">
        <f>IFERROR(MAX(0,VALUE(Raw_Data!I183)),0)</f>
        <v>6</v>
      </c>
      <c r="J183" s="13">
        <f>IFERROR(VALUE(Raw_Data!J183),0)</f>
        <v>1653</v>
      </c>
      <c r="K183" s="14">
        <f>IFERROR(VALUE(Raw_Data!K183),0)</f>
        <v>0.1</v>
      </c>
      <c r="L183" t="str">
        <f>PROPER(TRIM(Raw_Data!L183))</f>
        <v>Delivered</v>
      </c>
      <c r="M183" s="13">
        <f t="shared" si="16"/>
        <v>9918</v>
      </c>
      <c r="N183" s="13">
        <f t="shared" si="17"/>
        <v>991.8</v>
      </c>
      <c r="O183" s="13">
        <f t="shared" si="18"/>
        <v>8926.2</v>
      </c>
      <c r="P183" s="13">
        <f t="shared" si="19"/>
        <v>5950.8</v>
      </c>
      <c r="Q183" s="13">
        <f t="shared" si="20"/>
        <v>2975.4</v>
      </c>
      <c r="R183" s="10">
        <f t="shared" si="21"/>
        <v>0.333333333333333</v>
      </c>
      <c r="S183" t="str">
        <f t="shared" si="22"/>
        <v>Mar-2026</v>
      </c>
      <c r="T183" t="str">
        <f t="shared" si="23"/>
        <v>OK</v>
      </c>
    </row>
    <row r="184" spans="1:20">
      <c r="A184" t="str">
        <f>TRIM(Raw_Data!A184)</f>
        <v>ORD-10183</v>
      </c>
      <c r="B184" s="12">
        <f>IFERROR(IF(ISNUMBER(Raw_Data!B184),Raw_Data!B184,DATEVALUE(Raw_Data!B184)),"")</f>
        <v>46056</v>
      </c>
      <c r="C184" t="str">
        <f>PROPER(TRIM(Raw_Data!C184))</f>
        <v>Bhoomika</v>
      </c>
      <c r="D184" t="str">
        <f>IF(TRIM(Raw_Data!D184)="Bangalore","Bengaluru",IF(TRIM(Raw_Data!D184)="Mysore","Mysuru",IF(TRIM(Raw_Data!D184)="Cochin","Kochi",PROPER(TRIM(Raw_Data!D184)))))</f>
        <v>Pune</v>
      </c>
      <c r="E184" t="str">
        <f>PROPER(TRIM(Raw_Data!E184))</f>
        <v>Corporate</v>
      </c>
      <c r="F184" t="str">
        <f>PROPER(TRIM(Raw_Data!F184))</f>
        <v>Smb</v>
      </c>
      <c r="G184" t="str">
        <f>PROPER(TRIM(Raw_Data!G184))</f>
        <v>Monitor</v>
      </c>
      <c r="H184" t="str">
        <f>PROPER(TRIM(Raw_Data!H184))</f>
        <v>Monitor 24</v>
      </c>
      <c r="I184">
        <f>IFERROR(MAX(0,VALUE(Raw_Data!I184)),0)</f>
        <v>7</v>
      </c>
      <c r="J184" s="13">
        <f>IFERROR(VALUE(Raw_Data!J184),0)</f>
        <v>24904</v>
      </c>
      <c r="K184" s="14">
        <f>IFERROR(VALUE(Raw_Data!K184),0)</f>
        <v>0.15</v>
      </c>
      <c r="L184" t="str">
        <f>PROPER(TRIM(Raw_Data!L184))</f>
        <v>Pending</v>
      </c>
      <c r="M184" s="13">
        <f t="shared" si="16"/>
        <v>174328</v>
      </c>
      <c r="N184" s="13">
        <f t="shared" si="17"/>
        <v>26149.2</v>
      </c>
      <c r="O184" s="13">
        <f t="shared" si="18"/>
        <v>148178.8</v>
      </c>
      <c r="P184" s="13">
        <f t="shared" si="19"/>
        <v>122029.6</v>
      </c>
      <c r="Q184" s="13">
        <f t="shared" si="20"/>
        <v>26149.2</v>
      </c>
      <c r="R184" s="10">
        <f t="shared" si="21"/>
        <v>0.176470588235294</v>
      </c>
      <c r="S184" t="str">
        <f t="shared" si="22"/>
        <v>Feb-2026</v>
      </c>
      <c r="T184" t="str">
        <f t="shared" si="23"/>
        <v>OK</v>
      </c>
    </row>
    <row r="185" spans="1:20">
      <c r="A185" t="str">
        <f>TRIM(Raw_Data!A185)</f>
        <v>ORD-10184</v>
      </c>
      <c r="B185" s="12">
        <f>IFERROR(IF(ISNUMBER(Raw_Data!B185),Raw_Data!B185,DATEVALUE(Raw_Data!B185)),"")</f>
        <v>46037</v>
      </c>
      <c r="C185" t="str">
        <f>PROPER(TRIM(Raw_Data!C185))</f>
        <v>Kiran</v>
      </c>
      <c r="D185" t="str">
        <f>IF(TRIM(Raw_Data!D185)="Bangalore","Bengaluru",IF(TRIM(Raw_Data!D185)="Mysore","Mysuru",IF(TRIM(Raw_Data!D185)="Cochin","Kochi",PROPER(TRIM(Raw_Data!D185)))))</f>
        <v>Bengaluru</v>
      </c>
      <c r="E185" t="str">
        <f>PROPER(TRIM(Raw_Data!E185))</f>
        <v>Online</v>
      </c>
      <c r="F185" t="str">
        <f>PROPER(TRIM(Raw_Data!F185))</f>
        <v>Smb</v>
      </c>
      <c r="G185" t="str">
        <f>PROPER(TRIM(Raw_Data!G185))</f>
        <v>Headset</v>
      </c>
      <c r="H185" t="str">
        <f>PROPER(TRIM(Raw_Data!H185))</f>
        <v>Headset Wireless</v>
      </c>
      <c r="I185">
        <f>IFERROR(MAX(0,VALUE(Raw_Data!I185)),0)</f>
        <v>2</v>
      </c>
      <c r="J185" s="13">
        <f>IFERROR(VALUE(Raw_Data!J185),0)</f>
        <v>5755</v>
      </c>
      <c r="K185" s="14">
        <f>IFERROR(VALUE(Raw_Data!K185),0)</f>
        <v>0</v>
      </c>
      <c r="L185" t="str">
        <f>PROPER(TRIM(Raw_Data!L185))</f>
        <v>Returned</v>
      </c>
      <c r="M185" s="13">
        <f t="shared" si="16"/>
        <v>11510</v>
      </c>
      <c r="N185" s="13">
        <f t="shared" si="17"/>
        <v>0</v>
      </c>
      <c r="O185" s="13">
        <f t="shared" si="18"/>
        <v>11510</v>
      </c>
      <c r="P185" s="13">
        <f t="shared" si="19"/>
        <v>6906</v>
      </c>
      <c r="Q185" s="13">
        <f t="shared" si="20"/>
        <v>4604</v>
      </c>
      <c r="R185" s="10">
        <f t="shared" si="21"/>
        <v>0.4</v>
      </c>
      <c r="S185" t="str">
        <f t="shared" si="22"/>
        <v>Jan-2026</v>
      </c>
      <c r="T185" t="str">
        <f t="shared" si="23"/>
        <v>OK</v>
      </c>
    </row>
    <row r="186" spans="1:20">
      <c r="A186" t="str">
        <f>TRIM(Raw_Data!A186)</f>
        <v>ORD-10185</v>
      </c>
      <c r="B186" s="12">
        <f>IFERROR(IF(ISNUMBER(Raw_Data!B186),Raw_Data!B186,DATEVALUE(Raw_Data!B186)),"")</f>
        <v>46065</v>
      </c>
      <c r="C186" t="str">
        <f>PROPER(TRIM(Raw_Data!C186))</f>
        <v>Arjun</v>
      </c>
      <c r="D186" t="str">
        <f>IF(TRIM(Raw_Data!D186)="Bangalore","Bengaluru",IF(TRIM(Raw_Data!D186)="Mysore","Mysuru",IF(TRIM(Raw_Data!D186)="Cochin","Kochi",PROPER(TRIM(Raw_Data!D186)))))</f>
        <v>Kochi</v>
      </c>
      <c r="E186" t="str">
        <f>PROPER(TRIM(Raw_Data!E186))</f>
        <v>Corporate</v>
      </c>
      <c r="F186" t="str">
        <f>PROPER(TRIM(Raw_Data!F186))</f>
        <v>Consumer</v>
      </c>
      <c r="G186" t="str">
        <f>PROPER(TRIM(Raw_Data!G186))</f>
        <v>Monitor</v>
      </c>
      <c r="H186" t="str">
        <f>PROPER(TRIM(Raw_Data!H186))</f>
        <v>Monitor 32</v>
      </c>
      <c r="I186">
        <f>IFERROR(MAX(0,VALUE(Raw_Data!I186)),0)</f>
        <v>8</v>
      </c>
      <c r="J186" s="13">
        <f>IFERROR(VALUE(Raw_Data!J186),0)</f>
        <v>20059</v>
      </c>
      <c r="K186" s="14">
        <f>IFERROR(VALUE(Raw_Data!K186),0)</f>
        <v>0.05</v>
      </c>
      <c r="L186" t="str">
        <f>PROPER(TRIM(Raw_Data!L186))</f>
        <v>Delivered</v>
      </c>
      <c r="M186" s="13">
        <f t="shared" si="16"/>
        <v>160472</v>
      </c>
      <c r="N186" s="13">
        <f t="shared" si="17"/>
        <v>8023.6</v>
      </c>
      <c r="O186" s="13">
        <f t="shared" si="18"/>
        <v>152448.4</v>
      </c>
      <c r="P186" s="13">
        <f t="shared" si="19"/>
        <v>112330.4</v>
      </c>
      <c r="Q186" s="13">
        <f t="shared" si="20"/>
        <v>40118</v>
      </c>
      <c r="R186" s="10">
        <f t="shared" si="21"/>
        <v>0.263157894736842</v>
      </c>
      <c r="S186" t="str">
        <f t="shared" si="22"/>
        <v>Feb-2026</v>
      </c>
      <c r="T186" t="str">
        <f t="shared" si="23"/>
        <v>OK</v>
      </c>
    </row>
    <row r="187" spans="1:20">
      <c r="A187" t="str">
        <f>TRIM(Raw_Data!A187)</f>
        <v>ORD-10186</v>
      </c>
      <c r="B187" s="12">
        <f>IFERROR(IF(ISNUMBER(Raw_Data!B187),Raw_Data!B187,DATEVALUE(Raw_Data!B187)),"")</f>
        <v>46124</v>
      </c>
      <c r="C187" t="str">
        <f>PROPER(TRIM(Raw_Data!C187))</f>
        <v>Arjun</v>
      </c>
      <c r="D187" t="str">
        <f>IF(TRIM(Raw_Data!D187)="Bangalore","Bengaluru",IF(TRIM(Raw_Data!D187)="Mysore","Mysuru",IF(TRIM(Raw_Data!D187)="Cochin","Kochi",PROPER(TRIM(Raw_Data!D187)))))</f>
        <v>Bengaluru</v>
      </c>
      <c r="E187" t="str">
        <f>PROPER(TRIM(Raw_Data!E187))</f>
        <v>Corporate</v>
      </c>
      <c r="F187" t="str">
        <f>PROPER(TRIM(Raw_Data!F187))</f>
        <v>Consumer</v>
      </c>
      <c r="G187" t="str">
        <f>PROPER(TRIM(Raw_Data!G187))</f>
        <v>Laptop</v>
      </c>
      <c r="H187" t="str">
        <f>PROPER(TRIM(Raw_Data!H187))</f>
        <v>Business Laptop 15</v>
      </c>
      <c r="I187">
        <f>IFERROR(MAX(0,VALUE(Raw_Data!I187)),0)</f>
        <v>1</v>
      </c>
      <c r="J187" s="13">
        <f>IFERROR(VALUE(Raw_Data!J187),0)</f>
        <v>63643</v>
      </c>
      <c r="K187" s="14">
        <f>IFERROR(VALUE(Raw_Data!K187),0)</f>
        <v>0.05</v>
      </c>
      <c r="L187" t="str">
        <f>PROPER(TRIM(Raw_Data!L187))</f>
        <v>Delivered</v>
      </c>
      <c r="M187" s="13">
        <f t="shared" si="16"/>
        <v>63643</v>
      </c>
      <c r="N187" s="13">
        <f t="shared" si="17"/>
        <v>3182.15</v>
      </c>
      <c r="O187" s="13">
        <f t="shared" si="18"/>
        <v>60460.85</v>
      </c>
      <c r="P187" s="13">
        <f t="shared" si="19"/>
        <v>49641.54</v>
      </c>
      <c r="Q187" s="13">
        <f t="shared" si="20"/>
        <v>10819.31</v>
      </c>
      <c r="R187" s="10">
        <f t="shared" si="21"/>
        <v>0.178947368421053</v>
      </c>
      <c r="S187" t="str">
        <f t="shared" si="22"/>
        <v>Apr-2026</v>
      </c>
      <c r="T187" t="str">
        <f t="shared" si="23"/>
        <v>OK</v>
      </c>
    </row>
    <row r="188" spans="1:20">
      <c r="A188" t="str">
        <f>TRIM(Raw_Data!A188)</f>
        <v>ORD-10187</v>
      </c>
      <c r="B188" s="12">
        <f>IFERROR(IF(ISNUMBER(Raw_Data!B188),Raw_Data!B188,DATEVALUE(Raw_Data!B188)),"")</f>
        <v>46082</v>
      </c>
      <c r="C188" t="str">
        <f>PROPER(TRIM(Raw_Data!C188))</f>
        <v>Ravi</v>
      </c>
      <c r="D188" t="str">
        <f>IF(TRIM(Raw_Data!D188)="Bangalore","Bengaluru",IF(TRIM(Raw_Data!D188)="Mysore","Mysuru",IF(TRIM(Raw_Data!D188)="Cochin","Kochi",PROPER(TRIM(Raw_Data!D188)))))</f>
        <v>Chennai</v>
      </c>
      <c r="E188" t="str">
        <f>PROPER(TRIM(Raw_Data!E188))</f>
        <v>Corporate</v>
      </c>
      <c r="F188" t="str">
        <f>PROPER(TRIM(Raw_Data!F188))</f>
        <v>Enterprise</v>
      </c>
      <c r="G188" t="str">
        <f>PROPER(TRIM(Raw_Data!G188))</f>
        <v>Keyboard</v>
      </c>
      <c r="H188" t="str">
        <f>PROPER(TRIM(Raw_Data!H188))</f>
        <v>Keyboard Mechanical</v>
      </c>
      <c r="I188">
        <f>IFERROR(MAX(0,VALUE(Raw_Data!I188)),0)</f>
        <v>6</v>
      </c>
      <c r="J188" s="13">
        <f>IFERROR(VALUE(Raw_Data!J188),0)</f>
        <v>2981</v>
      </c>
      <c r="K188" s="14">
        <f>IFERROR(VALUE(Raw_Data!K188),0)</f>
        <v>0.08</v>
      </c>
      <c r="L188" t="str">
        <f>PROPER(TRIM(Raw_Data!L188))</f>
        <v>Delivered</v>
      </c>
      <c r="M188" s="13">
        <f t="shared" si="16"/>
        <v>17886</v>
      </c>
      <c r="N188" s="13">
        <f t="shared" si="17"/>
        <v>1430.88</v>
      </c>
      <c r="O188" s="13">
        <f t="shared" si="18"/>
        <v>16455.12</v>
      </c>
      <c r="P188" s="13">
        <f t="shared" si="19"/>
        <v>10373.88</v>
      </c>
      <c r="Q188" s="13">
        <f t="shared" si="20"/>
        <v>6081.24</v>
      </c>
      <c r="R188" s="10">
        <f t="shared" si="21"/>
        <v>0.369565217391304</v>
      </c>
      <c r="S188" t="str">
        <f t="shared" si="22"/>
        <v>Mar-2026</v>
      </c>
      <c r="T188" t="str">
        <f t="shared" si="23"/>
        <v>OK</v>
      </c>
    </row>
    <row r="189" spans="1:20">
      <c r="A189" t="str">
        <f>TRIM(Raw_Data!A189)</f>
        <v>ORD-10188</v>
      </c>
      <c r="B189" s="12">
        <f>IFERROR(IF(ISNUMBER(Raw_Data!B189),Raw_Data!B189,DATEVALUE(Raw_Data!B189)),"")</f>
        <v>46214</v>
      </c>
      <c r="C189" t="str">
        <f>PROPER(TRIM(Raw_Data!C189))</f>
        <v>Priya</v>
      </c>
      <c r="D189" t="str">
        <f>IF(TRIM(Raw_Data!D189)="Bangalore","Bengaluru",IF(TRIM(Raw_Data!D189)="Mysore","Mysuru",IF(TRIM(Raw_Data!D189)="Cochin","Kochi",PROPER(TRIM(Raw_Data!D189)))))</f>
        <v>Kochi</v>
      </c>
      <c r="E189" t="str">
        <f>PROPER(TRIM(Raw_Data!E189))</f>
        <v>Retail Store</v>
      </c>
      <c r="F189" t="str">
        <f>PROPER(TRIM(Raw_Data!F189))</f>
        <v>Consumer</v>
      </c>
      <c r="G189" t="str">
        <f>PROPER(TRIM(Raw_Data!G189))</f>
        <v>Headset</v>
      </c>
      <c r="H189" t="str">
        <f>PROPER(TRIM(Raw_Data!H189))</f>
        <v>Headset Pro</v>
      </c>
      <c r="I189">
        <f>IFERROR(MAX(0,VALUE(Raw_Data!I189)),0)</f>
        <v>3</v>
      </c>
      <c r="J189" s="13">
        <f>IFERROR(VALUE(Raw_Data!J189),0)</f>
        <v>4115</v>
      </c>
      <c r="K189" s="14">
        <f>IFERROR(VALUE(Raw_Data!K189),0)</f>
        <v>0.05</v>
      </c>
      <c r="L189" t="str">
        <f>PROPER(TRIM(Raw_Data!L189))</f>
        <v>Cancelled</v>
      </c>
      <c r="M189" s="13">
        <f t="shared" si="16"/>
        <v>12345</v>
      </c>
      <c r="N189" s="13">
        <f t="shared" si="17"/>
        <v>617.25</v>
      </c>
      <c r="O189" s="13">
        <f t="shared" si="18"/>
        <v>11727.75</v>
      </c>
      <c r="P189" s="13">
        <f t="shared" si="19"/>
        <v>7407</v>
      </c>
      <c r="Q189" s="13">
        <f t="shared" si="20"/>
        <v>4320.75</v>
      </c>
      <c r="R189" s="10">
        <f t="shared" si="21"/>
        <v>0.368421052631579</v>
      </c>
      <c r="S189" t="str">
        <f t="shared" si="22"/>
        <v>Jul-2026</v>
      </c>
      <c r="T189" t="str">
        <f t="shared" si="23"/>
        <v>OK</v>
      </c>
    </row>
    <row r="190" spans="1:20">
      <c r="A190" t="str">
        <f>TRIM(Raw_Data!A190)</f>
        <v>ORD-10189</v>
      </c>
      <c r="B190" s="12">
        <f>IFERROR(IF(ISNUMBER(Raw_Data!B190),Raw_Data!B190,DATEVALUE(Raw_Data!B190)),"")</f>
        <v>46125</v>
      </c>
      <c r="C190" t="str">
        <f>PROPER(TRIM(Raw_Data!C190))</f>
        <v>Meghana</v>
      </c>
      <c r="D190" t="str">
        <f>IF(TRIM(Raw_Data!D190)="Bangalore","Bengaluru",IF(TRIM(Raw_Data!D190)="Mysore","Mysuru",IF(TRIM(Raw_Data!D190)="Cochin","Kochi",PROPER(TRIM(Raw_Data!D190)))))</f>
        <v>Kochi</v>
      </c>
      <c r="E190" t="str">
        <f>PROPER(TRIM(Raw_Data!E190))</f>
        <v>Corporate</v>
      </c>
      <c r="F190" t="str">
        <f>PROPER(TRIM(Raw_Data!F190))</f>
        <v>Smb</v>
      </c>
      <c r="G190" t="str">
        <f>PROPER(TRIM(Raw_Data!G190))</f>
        <v>Keyboard</v>
      </c>
      <c r="H190" t="str">
        <f>PROPER(TRIM(Raw_Data!H190))</f>
        <v>Keyboard Wireless</v>
      </c>
      <c r="I190">
        <f>IFERROR(MAX(0,VALUE(Raw_Data!I190)),0)</f>
        <v>4</v>
      </c>
      <c r="J190" s="13">
        <f>IFERROR(VALUE(Raw_Data!J190),0)</f>
        <v>2268</v>
      </c>
      <c r="K190" s="14">
        <f>IFERROR(VALUE(Raw_Data!K190),0)</f>
        <v>0.08</v>
      </c>
      <c r="L190" t="str">
        <f>PROPER(TRIM(Raw_Data!L190))</f>
        <v>Pending</v>
      </c>
      <c r="M190" s="13">
        <f t="shared" si="16"/>
        <v>9072</v>
      </c>
      <c r="N190" s="13">
        <f t="shared" si="17"/>
        <v>725.76</v>
      </c>
      <c r="O190" s="13">
        <f t="shared" si="18"/>
        <v>8346.24</v>
      </c>
      <c r="P190" s="13">
        <f t="shared" si="19"/>
        <v>5261.76</v>
      </c>
      <c r="Q190" s="13">
        <f t="shared" si="20"/>
        <v>3084.48</v>
      </c>
      <c r="R190" s="10">
        <f t="shared" si="21"/>
        <v>0.369565217391304</v>
      </c>
      <c r="S190" t="str">
        <f t="shared" si="22"/>
        <v>Apr-2026</v>
      </c>
      <c r="T190" t="str">
        <f t="shared" si="23"/>
        <v>OK</v>
      </c>
    </row>
    <row r="191" spans="1:20">
      <c r="A191" t="str">
        <f>TRIM(Raw_Data!A191)</f>
        <v>ORD-10190</v>
      </c>
      <c r="B191" s="12">
        <f>IFERROR(IF(ISNUMBER(Raw_Data!B191),Raw_Data!B191,DATEVALUE(Raw_Data!B191)),"")</f>
        <v>46175</v>
      </c>
      <c r="C191" t="str">
        <f>PROPER(TRIM(Raw_Data!C191))</f>
        <v>Ravi</v>
      </c>
      <c r="D191" t="str">
        <f>IF(TRIM(Raw_Data!D191)="Bangalore","Bengaluru",IF(TRIM(Raw_Data!D191)="Mysore","Mysuru",IF(TRIM(Raw_Data!D191)="Cochin","Kochi",PROPER(TRIM(Raw_Data!D191)))))</f>
        <v>Hyderabad</v>
      </c>
      <c r="E191" t="str">
        <f>PROPER(TRIM(Raw_Data!E191))</f>
        <v>Corporate</v>
      </c>
      <c r="F191" t="str">
        <f>PROPER(TRIM(Raw_Data!F191))</f>
        <v>Enterprise</v>
      </c>
      <c r="G191" t="str">
        <f>PROPER(TRIM(Raw_Data!G191))</f>
        <v>Laptop</v>
      </c>
      <c r="H191" t="str">
        <f>PROPER(TRIM(Raw_Data!H191))</f>
        <v>Laptop Air 13</v>
      </c>
      <c r="I191">
        <f>IFERROR(MAX(0,VALUE(Raw_Data!I191)),0)</f>
        <v>4</v>
      </c>
      <c r="J191" s="13">
        <f>IFERROR(VALUE(Raw_Data!J191),0)</f>
        <v>67919</v>
      </c>
      <c r="K191" s="14">
        <f>IFERROR(VALUE(Raw_Data!K191),0)</f>
        <v>0.02</v>
      </c>
      <c r="L191" t="str">
        <f>PROPER(TRIM(Raw_Data!L191))</f>
        <v>Returned</v>
      </c>
      <c r="M191" s="13">
        <f t="shared" si="16"/>
        <v>271676</v>
      </c>
      <c r="N191" s="13">
        <f t="shared" si="17"/>
        <v>5433.52</v>
      </c>
      <c r="O191" s="13">
        <f t="shared" si="18"/>
        <v>266242.48</v>
      </c>
      <c r="P191" s="13">
        <f t="shared" si="19"/>
        <v>211907.28</v>
      </c>
      <c r="Q191" s="13">
        <f t="shared" si="20"/>
        <v>54335.2</v>
      </c>
      <c r="R191" s="10">
        <f t="shared" si="21"/>
        <v>0.204081632653061</v>
      </c>
      <c r="S191" t="str">
        <f t="shared" si="22"/>
        <v>Jun-2026</v>
      </c>
      <c r="T191" t="str">
        <f t="shared" si="23"/>
        <v>OK</v>
      </c>
    </row>
    <row r="192" spans="1:20">
      <c r="A192" t="str">
        <f>TRIM(Raw_Data!A192)</f>
        <v>ORD-10191</v>
      </c>
      <c r="B192" s="12" t="str">
        <f>IFERROR(IF(ISNUMBER(Raw_Data!B192),Raw_Data!B192,DATEVALUE(Raw_Data!B192)),"")</f>
        <v/>
      </c>
      <c r="C192" t="str">
        <f>PROPER(TRIM(Raw_Data!C192))</f>
        <v>Bhoomika</v>
      </c>
      <c r="D192" t="str">
        <f>IF(TRIM(Raw_Data!D192)="Bangalore","Bengaluru",IF(TRIM(Raw_Data!D192)="Mysore","Mysuru",IF(TRIM(Raw_Data!D192)="Cochin","Kochi",PROPER(TRIM(Raw_Data!D192)))))</f>
        <v>Hyderabad</v>
      </c>
      <c r="E192" t="str">
        <f>PROPER(TRIM(Raw_Data!E192))</f>
        <v>Online</v>
      </c>
      <c r="F192" t="str">
        <f>PROPER(TRIM(Raw_Data!F192))</f>
        <v>Consumer</v>
      </c>
      <c r="G192" t="str">
        <f>PROPER(TRIM(Raw_Data!G192))</f>
        <v>Mouse</v>
      </c>
      <c r="H192" t="str">
        <f>PROPER(TRIM(Raw_Data!H192))</f>
        <v>Mouse Basic</v>
      </c>
      <c r="I192">
        <f>IFERROR(MAX(0,VALUE(Raw_Data!I192)),0)</f>
        <v>1</v>
      </c>
      <c r="J192" s="13">
        <f>IFERROR(VALUE(Raw_Data!J192),0)</f>
        <v>1746</v>
      </c>
      <c r="K192" s="14">
        <f>IFERROR(VALUE(Raw_Data!K192),0)</f>
        <v>0.05</v>
      </c>
      <c r="L192" t="str">
        <f>PROPER(TRIM(Raw_Data!L192))</f>
        <v>Delivered</v>
      </c>
      <c r="M192" s="13">
        <f t="shared" si="16"/>
        <v>1746</v>
      </c>
      <c r="N192" s="13">
        <f t="shared" si="17"/>
        <v>87.3</v>
      </c>
      <c r="O192" s="13">
        <f t="shared" si="18"/>
        <v>1658.7</v>
      </c>
      <c r="P192" s="13">
        <f t="shared" si="19"/>
        <v>960.3</v>
      </c>
      <c r="Q192" s="13">
        <f t="shared" si="20"/>
        <v>698.4</v>
      </c>
      <c r="R192" s="10">
        <f t="shared" si="21"/>
        <v>0.421052631578947</v>
      </c>
      <c r="S192" t="str">
        <f t="shared" si="22"/>
        <v/>
      </c>
      <c r="T192" t="str">
        <f t="shared" si="23"/>
        <v>CHECK</v>
      </c>
    </row>
    <row r="193" spans="1:20">
      <c r="A193" t="str">
        <f>TRIM(Raw_Data!A193)</f>
        <v>ORD-10192</v>
      </c>
      <c r="B193" s="12">
        <f>IFERROR(IF(ISNUMBER(Raw_Data!B193),Raw_Data!B193,DATEVALUE(Raw_Data!B193)),"")</f>
        <v>46048</v>
      </c>
      <c r="C193" t="str">
        <f>PROPER(TRIM(Raw_Data!C193))</f>
        <v>Bhoomika</v>
      </c>
      <c r="D193" t="str">
        <f>IF(TRIM(Raw_Data!D193)="Bangalore","Bengaluru",IF(TRIM(Raw_Data!D193)="Mysore","Mysuru",IF(TRIM(Raw_Data!D193)="Cochin","Kochi",PROPER(TRIM(Raw_Data!D193)))))</f>
        <v>Chennai</v>
      </c>
      <c r="E193" t="str">
        <f>PROPER(TRIM(Raw_Data!E193))</f>
        <v>Online</v>
      </c>
      <c r="F193" t="str">
        <f>PROPER(TRIM(Raw_Data!F193))</f>
        <v>Consumer</v>
      </c>
      <c r="G193" t="str">
        <f>PROPER(TRIM(Raw_Data!G193))</f>
        <v>Keyboard</v>
      </c>
      <c r="H193" t="str">
        <f>PROPER(TRIM(Raw_Data!H193))</f>
        <v>Keyboard Mechanical</v>
      </c>
      <c r="I193">
        <f>IFERROR(MAX(0,VALUE(Raw_Data!I193)),0)</f>
        <v>1</v>
      </c>
      <c r="J193" s="13">
        <f>IFERROR(VALUE(Raw_Data!J193),0)</f>
        <v>5301</v>
      </c>
      <c r="K193" s="14">
        <f>IFERROR(VALUE(Raw_Data!K193),0)</f>
        <v>0</v>
      </c>
      <c r="L193" t="str">
        <f>PROPER(TRIM(Raw_Data!L193))</f>
        <v>Delivered</v>
      </c>
      <c r="M193" s="13">
        <f t="shared" si="16"/>
        <v>5301</v>
      </c>
      <c r="N193" s="13">
        <f t="shared" si="17"/>
        <v>0</v>
      </c>
      <c r="O193" s="13">
        <f t="shared" si="18"/>
        <v>5301</v>
      </c>
      <c r="P193" s="13">
        <f t="shared" si="19"/>
        <v>3074.58</v>
      </c>
      <c r="Q193" s="13">
        <f t="shared" si="20"/>
        <v>2226.42</v>
      </c>
      <c r="R193" s="10">
        <f t="shared" si="21"/>
        <v>0.42</v>
      </c>
      <c r="S193" t="str">
        <f t="shared" si="22"/>
        <v>Jan-2026</v>
      </c>
      <c r="T193" t="str">
        <f t="shared" si="23"/>
        <v>OK</v>
      </c>
    </row>
    <row r="194" spans="1:20">
      <c r="A194" t="str">
        <f>TRIM(Raw_Data!A194)</f>
        <v>ORD-10193</v>
      </c>
      <c r="B194" s="12">
        <f>IFERROR(IF(ISNUMBER(Raw_Data!B194),Raw_Data!B194,DATEVALUE(Raw_Data!B194)),"")</f>
        <v>46231</v>
      </c>
      <c r="C194" t="str">
        <f>PROPER(TRIM(Raw_Data!C194))</f>
        <v>Meghana</v>
      </c>
      <c r="D194" t="str">
        <f>IF(TRIM(Raw_Data!D194)="Bangalore","Bengaluru",IF(TRIM(Raw_Data!D194)="Mysore","Mysuru",IF(TRIM(Raw_Data!D194)="Cochin","Kochi",PROPER(TRIM(Raw_Data!D194)))))</f>
        <v>Mumbai</v>
      </c>
      <c r="E194" t="str">
        <f>PROPER(TRIM(Raw_Data!E194))</f>
        <v>Retail Store</v>
      </c>
      <c r="F194" t="str">
        <f>PROPER(TRIM(Raw_Data!F194))</f>
        <v>Consumer</v>
      </c>
      <c r="G194" t="str">
        <f>PROPER(TRIM(Raw_Data!G194))</f>
        <v>Laptop</v>
      </c>
      <c r="H194" t="str">
        <f>PROPER(TRIM(Raw_Data!H194))</f>
        <v>Business Laptop 15</v>
      </c>
      <c r="I194">
        <f>IFERROR(MAX(0,VALUE(Raw_Data!I194)),0)</f>
        <v>3</v>
      </c>
      <c r="J194" s="13">
        <f>IFERROR(VALUE(Raw_Data!J194),0)</f>
        <v>59783</v>
      </c>
      <c r="K194" s="14">
        <f>IFERROR(VALUE(Raw_Data!K194),0)</f>
        <v>0</v>
      </c>
      <c r="L194" t="str">
        <f>PROPER(TRIM(Raw_Data!L194))</f>
        <v>Returned</v>
      </c>
      <c r="M194" s="13">
        <f t="shared" ref="M194:M257" si="24">I194*J194</f>
        <v>179349</v>
      </c>
      <c r="N194" s="13">
        <f t="shared" ref="N194:N257" si="25">M194*K194</f>
        <v>0</v>
      </c>
      <c r="O194" s="13">
        <f t="shared" ref="O194:O257" si="26">M194-N194</f>
        <v>179349</v>
      </c>
      <c r="P194" s="13">
        <f t="shared" ref="P194:P257" si="27">M194*IF(G194="Laptop",0.78,IF(G194="Monitor",0.7,IF(G194="Keyboard",0.58,IF(G194="Mouse",0.55,0.6))))</f>
        <v>139892.22</v>
      </c>
      <c r="Q194" s="13">
        <f t="shared" ref="Q194:Q257" si="28">O194-P194</f>
        <v>39456.78</v>
      </c>
      <c r="R194" s="10">
        <f t="shared" ref="R194:R257" si="29">IFERROR(Q194/O194,0)</f>
        <v>0.22</v>
      </c>
      <c r="S194" t="str">
        <f t="shared" ref="S194:S257" si="30">IF(B194="","",TEXT(B194,"mmm-yyyy"))</f>
        <v>Jul-2026</v>
      </c>
      <c r="T194" t="str">
        <f t="shared" ref="T194:T257" si="31">IF(OR(A194="",B194="",I194&lt;=0,J194&lt;=0,L194=""),"CHECK","OK")</f>
        <v>OK</v>
      </c>
    </row>
    <row r="195" spans="1:20">
      <c r="A195" t="str">
        <f>TRIM(Raw_Data!A195)</f>
        <v>ORD-10194</v>
      </c>
      <c r="B195" s="12">
        <f>IFERROR(IF(ISNUMBER(Raw_Data!B195),Raw_Data!B195,DATEVALUE(Raw_Data!B195)),"")</f>
        <v>46157</v>
      </c>
      <c r="C195" t="str">
        <f>PROPER(TRIM(Raw_Data!C195))</f>
        <v>Priya</v>
      </c>
      <c r="D195" t="str">
        <f>IF(TRIM(Raw_Data!D195)="Bangalore","Bengaluru",IF(TRIM(Raw_Data!D195)="Mysore","Mysuru",IF(TRIM(Raw_Data!D195)="Cochin","Kochi",PROPER(TRIM(Raw_Data!D195)))))</f>
        <v>Hyderabad</v>
      </c>
      <c r="E195" t="str">
        <f>PROPER(TRIM(Raw_Data!E195))</f>
        <v>Retail Store</v>
      </c>
      <c r="F195" t="str">
        <f>PROPER(TRIM(Raw_Data!F195))</f>
        <v>Enterprise</v>
      </c>
      <c r="G195" t="str">
        <f>PROPER(TRIM(Raw_Data!G195))</f>
        <v>Monitor</v>
      </c>
      <c r="H195" t="str">
        <f>PROPER(TRIM(Raw_Data!H195))</f>
        <v>Monitor 27</v>
      </c>
      <c r="I195">
        <f>IFERROR(MAX(0,VALUE(Raw_Data!I195)),0)</f>
        <v>2</v>
      </c>
      <c r="J195" s="13">
        <f>IFERROR(VALUE(Raw_Data!J195),0)</f>
        <v>14178</v>
      </c>
      <c r="K195" s="14">
        <f>IFERROR(VALUE(Raw_Data!K195),0)</f>
        <v>0.02</v>
      </c>
      <c r="L195" t="str">
        <f>PROPER(TRIM(Raw_Data!L195))</f>
        <v>Delivered</v>
      </c>
      <c r="M195" s="13">
        <f t="shared" si="24"/>
        <v>28356</v>
      </c>
      <c r="N195" s="13">
        <f t="shared" si="25"/>
        <v>567.12</v>
      </c>
      <c r="O195" s="13">
        <f t="shared" si="26"/>
        <v>27788.88</v>
      </c>
      <c r="P195" s="13">
        <f t="shared" si="27"/>
        <v>19849.2</v>
      </c>
      <c r="Q195" s="13">
        <f t="shared" si="28"/>
        <v>7939.68</v>
      </c>
      <c r="R195" s="10">
        <f t="shared" si="29"/>
        <v>0.285714285714286</v>
      </c>
      <c r="S195" t="str">
        <f t="shared" si="30"/>
        <v>May-2026</v>
      </c>
      <c r="T195" t="str">
        <f t="shared" si="31"/>
        <v>OK</v>
      </c>
    </row>
    <row r="196" spans="1:20">
      <c r="A196" t="str">
        <f>TRIM(Raw_Data!A196)</f>
        <v>ORD-10195</v>
      </c>
      <c r="B196" s="12">
        <f>IFERROR(IF(ISNUMBER(Raw_Data!B196),Raw_Data!B196,DATEVALUE(Raw_Data!B196)),"")</f>
        <v>46179</v>
      </c>
      <c r="C196" t="str">
        <f>PROPER(TRIM(Raw_Data!C196))</f>
        <v>Neha</v>
      </c>
      <c r="D196" t="str">
        <f>IF(TRIM(Raw_Data!D196)="Bangalore","Bengaluru",IF(TRIM(Raw_Data!D196)="Mysore","Mysuru",IF(TRIM(Raw_Data!D196)="Cochin","Kochi",PROPER(TRIM(Raw_Data!D196)))))</f>
        <v>Pune</v>
      </c>
      <c r="E196" t="str">
        <f>PROPER(TRIM(Raw_Data!E196))</f>
        <v>Retail Store</v>
      </c>
      <c r="F196" t="str">
        <f>PROPER(TRIM(Raw_Data!F196))</f>
        <v>Smb</v>
      </c>
      <c r="G196" t="str">
        <f>PROPER(TRIM(Raw_Data!G196))</f>
        <v>Monitor</v>
      </c>
      <c r="H196" t="str">
        <f>PROPER(TRIM(Raw_Data!H196))</f>
        <v>Monitor 32</v>
      </c>
      <c r="I196">
        <f>IFERROR(MAX(0,VALUE(Raw_Data!I196)),0)</f>
        <v>0</v>
      </c>
      <c r="J196" s="13">
        <f>IFERROR(VALUE(Raw_Data!J196),0)</f>
        <v>9854</v>
      </c>
      <c r="K196" s="14">
        <f>IFERROR(VALUE(Raw_Data!K196),0)</f>
        <v>0.02</v>
      </c>
      <c r="L196" t="str">
        <f>PROPER(TRIM(Raw_Data!L196))</f>
        <v>Cancelled</v>
      </c>
      <c r="M196" s="13">
        <f t="shared" si="24"/>
        <v>0</v>
      </c>
      <c r="N196" s="13">
        <f t="shared" si="25"/>
        <v>0</v>
      </c>
      <c r="O196" s="13">
        <f t="shared" si="26"/>
        <v>0</v>
      </c>
      <c r="P196" s="13">
        <f t="shared" si="27"/>
        <v>0</v>
      </c>
      <c r="Q196" s="13">
        <f t="shared" si="28"/>
        <v>0</v>
      </c>
      <c r="R196" s="10">
        <f t="shared" si="29"/>
        <v>0</v>
      </c>
      <c r="S196" t="str">
        <f t="shared" si="30"/>
        <v>Jun-2026</v>
      </c>
      <c r="T196" t="str">
        <f t="shared" si="31"/>
        <v>CHECK</v>
      </c>
    </row>
    <row r="197" spans="1:20">
      <c r="A197" t="str">
        <f>TRIM(Raw_Data!A197)</f>
        <v>ORD-10196</v>
      </c>
      <c r="B197" s="12">
        <f>IFERROR(IF(ISNUMBER(Raw_Data!B197),Raw_Data!B197,DATEVALUE(Raw_Data!B197)),"")</f>
        <v>46074</v>
      </c>
      <c r="C197" t="str">
        <f>PROPER(TRIM(Raw_Data!C197))</f>
        <v>Kiran</v>
      </c>
      <c r="D197" t="str">
        <f>IF(TRIM(Raw_Data!D197)="Bangalore","Bengaluru",IF(TRIM(Raw_Data!D197)="Mysore","Mysuru",IF(TRIM(Raw_Data!D197)="Cochin","Kochi",PROPER(TRIM(Raw_Data!D197)))))</f>
        <v>Hyderabad</v>
      </c>
      <c r="E197" t="str">
        <f>PROPER(TRIM(Raw_Data!E197))</f>
        <v>Corporate</v>
      </c>
      <c r="F197" t="str">
        <f>PROPER(TRIM(Raw_Data!F197))</f>
        <v>Consumer</v>
      </c>
      <c r="G197" t="str">
        <f>PROPER(TRIM(Raw_Data!G197))</f>
        <v>Monitor</v>
      </c>
      <c r="H197" t="str">
        <f>PROPER(TRIM(Raw_Data!H197))</f>
        <v>Monitor 24</v>
      </c>
      <c r="I197">
        <f>IFERROR(MAX(0,VALUE(Raw_Data!I197)),0)</f>
        <v>7</v>
      </c>
      <c r="J197" s="13">
        <f>IFERROR(VALUE(Raw_Data!J197),0)</f>
        <v>25054</v>
      </c>
      <c r="K197" s="14">
        <f>IFERROR(VALUE(Raw_Data!K197),0)</f>
        <v>0.08</v>
      </c>
      <c r="L197" t="str">
        <f>PROPER(TRIM(Raw_Data!L197))</f>
        <v>Delivered</v>
      </c>
      <c r="M197" s="13">
        <f t="shared" si="24"/>
        <v>175378</v>
      </c>
      <c r="N197" s="13">
        <f t="shared" si="25"/>
        <v>14030.24</v>
      </c>
      <c r="O197" s="13">
        <f t="shared" si="26"/>
        <v>161347.76</v>
      </c>
      <c r="P197" s="13">
        <f t="shared" si="27"/>
        <v>122764.6</v>
      </c>
      <c r="Q197" s="13">
        <f t="shared" si="28"/>
        <v>38583.16</v>
      </c>
      <c r="R197" s="10">
        <f t="shared" si="29"/>
        <v>0.239130434782609</v>
      </c>
      <c r="S197" t="str">
        <f t="shared" si="30"/>
        <v>Feb-2026</v>
      </c>
      <c r="T197" t="str">
        <f t="shared" si="31"/>
        <v>OK</v>
      </c>
    </row>
    <row r="198" spans="1:20">
      <c r="A198" t="str">
        <f>TRIM(Raw_Data!A198)</f>
        <v>ORD-10197</v>
      </c>
      <c r="B198" s="12">
        <f>IFERROR(IF(ISNUMBER(Raw_Data!B198),Raw_Data!B198,DATEVALUE(Raw_Data!B198)),"")</f>
        <v>46211</v>
      </c>
      <c r="C198" t="str">
        <f>PROPER(TRIM(Raw_Data!C198))</f>
        <v>Kiran</v>
      </c>
      <c r="D198" t="str">
        <f>IF(TRIM(Raw_Data!D198)="Bangalore","Bengaluru",IF(TRIM(Raw_Data!D198)="Mysore","Mysuru",IF(TRIM(Raw_Data!D198)="Cochin","Kochi",PROPER(TRIM(Raw_Data!D198)))))</f>
        <v>Kochi</v>
      </c>
      <c r="E198" t="str">
        <f>PROPER(TRIM(Raw_Data!E198))</f>
        <v>Corporate</v>
      </c>
      <c r="F198" t="str">
        <f>PROPER(TRIM(Raw_Data!F198))</f>
        <v>Smb</v>
      </c>
      <c r="G198" t="str">
        <f>PROPER(TRIM(Raw_Data!G198))</f>
        <v>Laptop</v>
      </c>
      <c r="H198" t="str">
        <f>PROPER(TRIM(Raw_Data!H198))</f>
        <v>Business Laptop 15</v>
      </c>
      <c r="I198">
        <f>IFERROR(MAX(0,VALUE(Raw_Data!I198)),0)</f>
        <v>7</v>
      </c>
      <c r="J198" s="13">
        <f>IFERROR(VALUE(Raw_Data!J198),0)</f>
        <v>78824</v>
      </c>
      <c r="K198" s="14">
        <f>IFERROR(VALUE(Raw_Data!K198),0)</f>
        <v>0.05</v>
      </c>
      <c r="L198" t="str">
        <f>PROPER(TRIM(Raw_Data!L198))</f>
        <v>Delivered</v>
      </c>
      <c r="M198" s="13">
        <f t="shared" si="24"/>
        <v>551768</v>
      </c>
      <c r="N198" s="13">
        <f t="shared" si="25"/>
        <v>27588.4</v>
      </c>
      <c r="O198" s="13">
        <f t="shared" si="26"/>
        <v>524179.6</v>
      </c>
      <c r="P198" s="13">
        <f t="shared" si="27"/>
        <v>430379.04</v>
      </c>
      <c r="Q198" s="13">
        <f t="shared" si="28"/>
        <v>93800.5599999999</v>
      </c>
      <c r="R198" s="10">
        <f t="shared" si="29"/>
        <v>0.178947368421053</v>
      </c>
      <c r="S198" t="str">
        <f t="shared" si="30"/>
        <v>Jul-2026</v>
      </c>
      <c r="T198" t="str">
        <f t="shared" si="31"/>
        <v>OK</v>
      </c>
    </row>
    <row r="199" spans="1:20">
      <c r="A199" t="str">
        <f>TRIM(Raw_Data!A199)</f>
        <v>ORD-10198</v>
      </c>
      <c r="B199" s="12">
        <f>IFERROR(IF(ISNUMBER(Raw_Data!B199),Raw_Data!B199,DATEVALUE(Raw_Data!B199)),"")</f>
        <v>46105</v>
      </c>
      <c r="C199" t="str">
        <f>PROPER(TRIM(Raw_Data!C199))</f>
        <v>Priya</v>
      </c>
      <c r="D199" t="str">
        <f>IF(TRIM(Raw_Data!D199)="Bangalore","Bengaluru",IF(TRIM(Raw_Data!D199)="Mysore","Mysuru",IF(TRIM(Raw_Data!D199)="Cochin","Kochi",PROPER(TRIM(Raw_Data!D199)))))</f>
        <v>Hydrabad</v>
      </c>
      <c r="E199" t="str">
        <f>PROPER(TRIM(Raw_Data!E199))</f>
        <v>Online</v>
      </c>
      <c r="F199" t="str">
        <f>PROPER(TRIM(Raw_Data!F199))</f>
        <v>Consumer</v>
      </c>
      <c r="G199" t="str">
        <f>PROPER(TRIM(Raw_Data!G199))</f>
        <v>Mouse</v>
      </c>
      <c r="H199" t="str">
        <f>PROPER(TRIM(Raw_Data!H199))</f>
        <v>Mouse Wireless</v>
      </c>
      <c r="I199">
        <f>IFERROR(MAX(0,VALUE(Raw_Data!I199)),0)</f>
        <v>6</v>
      </c>
      <c r="J199" s="13">
        <f>IFERROR(VALUE(Raw_Data!J199),0)</f>
        <v>1069</v>
      </c>
      <c r="K199" s="14">
        <f>IFERROR(VALUE(Raw_Data!K199),0)</f>
        <v>0.15</v>
      </c>
      <c r="L199" t="str">
        <f>PROPER(TRIM(Raw_Data!L199))</f>
        <v>Returned</v>
      </c>
      <c r="M199" s="13">
        <f t="shared" si="24"/>
        <v>6414</v>
      </c>
      <c r="N199" s="13">
        <f t="shared" si="25"/>
        <v>962.1</v>
      </c>
      <c r="O199" s="13">
        <f t="shared" si="26"/>
        <v>5451.9</v>
      </c>
      <c r="P199" s="13">
        <f t="shared" si="27"/>
        <v>3527.7</v>
      </c>
      <c r="Q199" s="13">
        <f t="shared" si="28"/>
        <v>1924.2</v>
      </c>
      <c r="R199" s="10">
        <f t="shared" si="29"/>
        <v>0.352941176470588</v>
      </c>
      <c r="S199" t="str">
        <f t="shared" si="30"/>
        <v>Mar-2026</v>
      </c>
      <c r="T199" t="str">
        <f t="shared" si="31"/>
        <v>OK</v>
      </c>
    </row>
    <row r="200" spans="1:20">
      <c r="A200" t="str">
        <f>TRIM(Raw_Data!A200)</f>
        <v>ORD-10199</v>
      </c>
      <c r="B200" s="12">
        <f>IFERROR(IF(ISNUMBER(Raw_Data!B200),Raw_Data!B200,DATEVALUE(Raw_Data!B200)),"")</f>
        <v>46108</v>
      </c>
      <c r="C200" t="str">
        <f>PROPER(TRIM(Raw_Data!C200))</f>
        <v>Neha</v>
      </c>
      <c r="D200" t="str">
        <f>IF(TRIM(Raw_Data!D200)="Bangalore","Bengaluru",IF(TRIM(Raw_Data!D200)="Mysore","Mysuru",IF(TRIM(Raw_Data!D200)="Cochin","Kochi",PROPER(TRIM(Raw_Data!D200)))))</f>
        <v>Hyderabad</v>
      </c>
      <c r="E200" t="str">
        <f>PROPER(TRIM(Raw_Data!E200))</f>
        <v>Online</v>
      </c>
      <c r="F200" t="str">
        <f>PROPER(TRIM(Raw_Data!F200))</f>
        <v>Smb</v>
      </c>
      <c r="G200" t="str">
        <f>PROPER(TRIM(Raw_Data!G200))</f>
        <v>Headset</v>
      </c>
      <c r="H200" t="str">
        <f>PROPER(TRIM(Raw_Data!H200))</f>
        <v>Headset Office</v>
      </c>
      <c r="I200">
        <f>IFERROR(MAX(0,VALUE(Raw_Data!I200)),0)</f>
        <v>5</v>
      </c>
      <c r="J200" s="13">
        <f>IFERROR(VALUE(Raw_Data!J200),0)</f>
        <v>4937</v>
      </c>
      <c r="K200" s="14">
        <f>IFERROR(VALUE(Raw_Data!K200),0)</f>
        <v>0.05</v>
      </c>
      <c r="L200" t="str">
        <f>PROPER(TRIM(Raw_Data!L200))</f>
        <v>Returned</v>
      </c>
      <c r="M200" s="13">
        <f t="shared" si="24"/>
        <v>24685</v>
      </c>
      <c r="N200" s="13">
        <f t="shared" si="25"/>
        <v>1234.25</v>
      </c>
      <c r="O200" s="13">
        <f t="shared" si="26"/>
        <v>23450.75</v>
      </c>
      <c r="P200" s="13">
        <f t="shared" si="27"/>
        <v>14811</v>
      </c>
      <c r="Q200" s="13">
        <f t="shared" si="28"/>
        <v>8639.75</v>
      </c>
      <c r="R200" s="10">
        <f t="shared" si="29"/>
        <v>0.368421052631579</v>
      </c>
      <c r="S200" t="str">
        <f t="shared" si="30"/>
        <v>Mar-2026</v>
      </c>
      <c r="T200" t="str">
        <f t="shared" si="31"/>
        <v>OK</v>
      </c>
    </row>
    <row r="201" spans="1:20">
      <c r="A201" t="str">
        <f>TRIM(Raw_Data!A201)</f>
        <v>ORD-10200</v>
      </c>
      <c r="B201" s="12">
        <f>IFERROR(IF(ISNUMBER(Raw_Data!B201),Raw_Data!B201,DATEVALUE(Raw_Data!B201)),"")</f>
        <v>46191</v>
      </c>
      <c r="C201" t="str">
        <f>PROPER(TRIM(Raw_Data!C201))</f>
        <v>Meghana</v>
      </c>
      <c r="D201" t="str">
        <f>IF(TRIM(Raw_Data!D201)="Bangalore","Bengaluru",IF(TRIM(Raw_Data!D201)="Mysore","Mysuru",IF(TRIM(Raw_Data!D201)="Cochin","Kochi",PROPER(TRIM(Raw_Data!D201)))))</f>
        <v>Kochi</v>
      </c>
      <c r="E201" t="str">
        <f>PROPER(TRIM(Raw_Data!E201))</f>
        <v>Corporate</v>
      </c>
      <c r="F201" t="str">
        <f>PROPER(TRIM(Raw_Data!F201))</f>
        <v>Smb</v>
      </c>
      <c r="G201" t="str">
        <f>PROPER(TRIM(Raw_Data!G201))</f>
        <v>Mouse</v>
      </c>
      <c r="H201" t="str">
        <f>PROPER(TRIM(Raw_Data!H201))</f>
        <v>Mouse Ergonomic</v>
      </c>
      <c r="I201">
        <f>IFERROR(MAX(0,VALUE(Raw_Data!I201)),0)</f>
        <v>5</v>
      </c>
      <c r="J201" s="13">
        <f>IFERROR(VALUE(Raw_Data!J201),0)</f>
        <v>1702</v>
      </c>
      <c r="K201" s="14">
        <f>IFERROR(VALUE(Raw_Data!K201),0)</f>
        <v>0.1</v>
      </c>
      <c r="L201" t="str">
        <f>PROPER(TRIM(Raw_Data!L201))</f>
        <v>Returned</v>
      </c>
      <c r="M201" s="13">
        <f t="shared" si="24"/>
        <v>8510</v>
      </c>
      <c r="N201" s="13">
        <f t="shared" si="25"/>
        <v>851</v>
      </c>
      <c r="O201" s="13">
        <f t="shared" si="26"/>
        <v>7659</v>
      </c>
      <c r="P201" s="13">
        <f t="shared" si="27"/>
        <v>4680.5</v>
      </c>
      <c r="Q201" s="13">
        <f t="shared" si="28"/>
        <v>2978.5</v>
      </c>
      <c r="R201" s="10">
        <f t="shared" si="29"/>
        <v>0.388888888888889</v>
      </c>
      <c r="S201" t="str">
        <f t="shared" si="30"/>
        <v>Jun-2026</v>
      </c>
      <c r="T201" t="str">
        <f t="shared" si="31"/>
        <v>OK</v>
      </c>
    </row>
    <row r="202" spans="1:20">
      <c r="A202" t="str">
        <f>TRIM(Raw_Data!A202)</f>
        <v>ORD-10201</v>
      </c>
      <c r="B202" s="12">
        <f>IFERROR(IF(ISNUMBER(Raw_Data!B202),Raw_Data!B202,DATEVALUE(Raw_Data!B202)),"")</f>
        <v>46202</v>
      </c>
      <c r="C202" t="str">
        <f>PROPER(TRIM(Raw_Data!C202))</f>
        <v>Ravi</v>
      </c>
      <c r="D202" t="str">
        <f>IF(TRIM(Raw_Data!D202)="Bangalore","Bengaluru",IF(TRIM(Raw_Data!D202)="Mysore","Mysuru",IF(TRIM(Raw_Data!D202)="Cochin","Kochi",PROPER(TRIM(Raw_Data!D202)))))</f>
        <v>Hyderabad</v>
      </c>
      <c r="E202" t="str">
        <f>PROPER(TRIM(Raw_Data!E202))</f>
        <v>Online</v>
      </c>
      <c r="F202" t="str">
        <f>PROPER(TRIM(Raw_Data!F202))</f>
        <v>Smb</v>
      </c>
      <c r="G202" t="str">
        <f>PROPER(TRIM(Raw_Data!G202))</f>
        <v>Headset</v>
      </c>
      <c r="H202" t="str">
        <f>PROPER(TRIM(Raw_Data!H202))</f>
        <v>Headset Office</v>
      </c>
      <c r="I202">
        <f>IFERROR(MAX(0,VALUE(Raw_Data!I202)),0)</f>
        <v>5</v>
      </c>
      <c r="J202" s="13">
        <f>IFERROR(VALUE(Raw_Data!J202),0)</f>
        <v>2262</v>
      </c>
      <c r="K202" s="14">
        <f>IFERROR(VALUE(Raw_Data!K202),0)</f>
        <v>0.05</v>
      </c>
      <c r="L202" t="str">
        <f>PROPER(TRIM(Raw_Data!L202))</f>
        <v>Delivered</v>
      </c>
      <c r="M202" s="13">
        <f t="shared" si="24"/>
        <v>11310</v>
      </c>
      <c r="N202" s="13">
        <f t="shared" si="25"/>
        <v>565.5</v>
      </c>
      <c r="O202" s="13">
        <f t="shared" si="26"/>
        <v>10744.5</v>
      </c>
      <c r="P202" s="13">
        <f t="shared" si="27"/>
        <v>6786</v>
      </c>
      <c r="Q202" s="13">
        <f t="shared" si="28"/>
        <v>3958.5</v>
      </c>
      <c r="R202" s="10">
        <f t="shared" si="29"/>
        <v>0.368421052631579</v>
      </c>
      <c r="S202" t="str">
        <f t="shared" si="30"/>
        <v>Jun-2026</v>
      </c>
      <c r="T202" t="str">
        <f t="shared" si="31"/>
        <v>OK</v>
      </c>
    </row>
    <row r="203" spans="1:20">
      <c r="A203" t="str">
        <f>TRIM(Raw_Data!A203)</f>
        <v>ORD-10202</v>
      </c>
      <c r="B203" s="12">
        <f>IFERROR(IF(ISNUMBER(Raw_Data!B203),Raw_Data!B203,DATEVALUE(Raw_Data!B203)),"")</f>
        <v>46158</v>
      </c>
      <c r="C203" t="str">
        <f>PROPER(TRIM(Raw_Data!C203))</f>
        <v>Neha</v>
      </c>
      <c r="D203" t="str">
        <f>IF(TRIM(Raw_Data!D203)="Bangalore","Bengaluru",IF(TRIM(Raw_Data!D203)="Mysore","Mysuru",IF(TRIM(Raw_Data!D203)="Cochin","Kochi",PROPER(TRIM(Raw_Data!D203)))))</f>
        <v>Mumbai</v>
      </c>
      <c r="E203" t="str">
        <f>PROPER(TRIM(Raw_Data!E203))</f>
        <v>Corporate</v>
      </c>
      <c r="F203" t="str">
        <f>PROPER(TRIM(Raw_Data!F203))</f>
        <v>Enterprise</v>
      </c>
      <c r="G203" t="str">
        <f>PROPER(TRIM(Raw_Data!G203))</f>
        <v>Laptop</v>
      </c>
      <c r="H203" t="str">
        <f>PROPER(TRIM(Raw_Data!H203))</f>
        <v>Laptop Air 13</v>
      </c>
      <c r="I203">
        <f>IFERROR(MAX(0,VALUE(Raw_Data!I203)),0)</f>
        <v>6</v>
      </c>
      <c r="J203" s="13">
        <f>IFERROR(VALUE(Raw_Data!J203),0)</f>
        <v>72987</v>
      </c>
      <c r="K203" s="14">
        <f>IFERROR(VALUE(Raw_Data!K203),0)</f>
        <v>0.02</v>
      </c>
      <c r="L203" t="str">
        <f>PROPER(TRIM(Raw_Data!L203))</f>
        <v>Cancelled</v>
      </c>
      <c r="M203" s="13">
        <f t="shared" si="24"/>
        <v>437922</v>
      </c>
      <c r="N203" s="13">
        <f t="shared" si="25"/>
        <v>8758.44</v>
      </c>
      <c r="O203" s="13">
        <f t="shared" si="26"/>
        <v>429163.56</v>
      </c>
      <c r="P203" s="13">
        <f t="shared" si="27"/>
        <v>341579.16</v>
      </c>
      <c r="Q203" s="13">
        <f t="shared" si="28"/>
        <v>87584.4</v>
      </c>
      <c r="R203" s="10">
        <f t="shared" si="29"/>
        <v>0.204081632653061</v>
      </c>
      <c r="S203" t="str">
        <f t="shared" si="30"/>
        <v>May-2026</v>
      </c>
      <c r="T203" t="str">
        <f t="shared" si="31"/>
        <v>OK</v>
      </c>
    </row>
    <row r="204" spans="1:20">
      <c r="A204" t="str">
        <f>TRIM(Raw_Data!A204)</f>
        <v>ORD-10203</v>
      </c>
      <c r="B204" s="12">
        <f>IFERROR(IF(ISNUMBER(Raw_Data!B204),Raw_Data!B204,DATEVALUE(Raw_Data!B204)),"")</f>
        <v>46034</v>
      </c>
      <c r="C204" t="str">
        <f>PROPER(TRIM(Raw_Data!C204))</f>
        <v>Asha</v>
      </c>
      <c r="D204" t="str">
        <f>IF(TRIM(Raw_Data!D204)="Bangalore","Bengaluru",IF(TRIM(Raw_Data!D204)="Mysore","Mysuru",IF(TRIM(Raw_Data!D204)="Cochin","Kochi",PROPER(TRIM(Raw_Data!D204)))))</f>
        <v>Pune</v>
      </c>
      <c r="E204" t="str">
        <f>PROPER(TRIM(Raw_Data!E204))</f>
        <v>Retail Store</v>
      </c>
      <c r="F204" t="str">
        <f>PROPER(TRIM(Raw_Data!F204))</f>
        <v>Consumer</v>
      </c>
      <c r="G204" t="str">
        <f>PROPER(TRIM(Raw_Data!G204))</f>
        <v>Keyboard</v>
      </c>
      <c r="H204" t="str">
        <f>PROPER(TRIM(Raw_Data!H204))</f>
        <v>Keyboard Mechanical</v>
      </c>
      <c r="I204">
        <f>IFERROR(MAX(0,VALUE(Raw_Data!I204)),0)</f>
        <v>5</v>
      </c>
      <c r="J204" s="13">
        <f>IFERROR(VALUE(Raw_Data!J204),0)</f>
        <v>3507</v>
      </c>
      <c r="K204" s="14">
        <f>IFERROR(VALUE(Raw_Data!K204),0)</f>
        <v>0.05</v>
      </c>
      <c r="L204" t="str">
        <f>PROPER(TRIM(Raw_Data!L204))</f>
        <v>Cancelled</v>
      </c>
      <c r="M204" s="13">
        <f t="shared" si="24"/>
        <v>17535</v>
      </c>
      <c r="N204" s="13">
        <f t="shared" si="25"/>
        <v>876.75</v>
      </c>
      <c r="O204" s="13">
        <f t="shared" si="26"/>
        <v>16658.25</v>
      </c>
      <c r="P204" s="13">
        <f t="shared" si="27"/>
        <v>10170.3</v>
      </c>
      <c r="Q204" s="13">
        <f t="shared" si="28"/>
        <v>6487.95</v>
      </c>
      <c r="R204" s="10">
        <f t="shared" si="29"/>
        <v>0.389473684210526</v>
      </c>
      <c r="S204" t="str">
        <f t="shared" si="30"/>
        <v>Jan-2026</v>
      </c>
      <c r="T204" t="str">
        <f t="shared" si="31"/>
        <v>OK</v>
      </c>
    </row>
    <row r="205" spans="1:20">
      <c r="A205" t="str">
        <f>TRIM(Raw_Data!A205)</f>
        <v>ORD-10204</v>
      </c>
      <c r="B205" s="12">
        <f>IFERROR(IF(ISNUMBER(Raw_Data!B205),Raw_Data!B205,DATEVALUE(Raw_Data!B205)),"")</f>
        <v>46062</v>
      </c>
      <c r="C205" t="str">
        <f>PROPER(TRIM(Raw_Data!C205))</f>
        <v>Arjun</v>
      </c>
      <c r="D205" t="str">
        <f>IF(TRIM(Raw_Data!D205)="Bangalore","Bengaluru",IF(TRIM(Raw_Data!D205)="Mysore","Mysuru",IF(TRIM(Raw_Data!D205)="Cochin","Kochi",PROPER(TRIM(Raw_Data!D205)))))</f>
        <v>Delhi</v>
      </c>
      <c r="E205" t="str">
        <f>PROPER(TRIM(Raw_Data!E205))</f>
        <v>Retail Store</v>
      </c>
      <c r="F205" t="str">
        <f>PROPER(TRIM(Raw_Data!F205))</f>
        <v>Smb</v>
      </c>
      <c r="G205" t="str">
        <f>PROPER(TRIM(Raw_Data!G205))</f>
        <v>Mouse</v>
      </c>
      <c r="H205" t="str">
        <f>PROPER(TRIM(Raw_Data!H205))</f>
        <v>Mouse Basic</v>
      </c>
      <c r="I205">
        <f>IFERROR(MAX(0,VALUE(Raw_Data!I205)),0)</f>
        <v>6</v>
      </c>
      <c r="J205" s="13">
        <f>IFERROR(VALUE(Raw_Data!J205),0)</f>
        <v>2834</v>
      </c>
      <c r="K205" s="14">
        <f>IFERROR(VALUE(Raw_Data!K205),0)</f>
        <v>0.1</v>
      </c>
      <c r="L205" t="str">
        <f>PROPER(TRIM(Raw_Data!L205))</f>
        <v>Cancelled</v>
      </c>
      <c r="M205" s="13">
        <f t="shared" si="24"/>
        <v>17004</v>
      </c>
      <c r="N205" s="13">
        <f t="shared" si="25"/>
        <v>1700.4</v>
      </c>
      <c r="O205" s="13">
        <f t="shared" si="26"/>
        <v>15303.6</v>
      </c>
      <c r="P205" s="13">
        <f t="shared" si="27"/>
        <v>9352.2</v>
      </c>
      <c r="Q205" s="13">
        <f t="shared" si="28"/>
        <v>5951.4</v>
      </c>
      <c r="R205" s="10">
        <f t="shared" si="29"/>
        <v>0.388888888888889</v>
      </c>
      <c r="S205" t="str">
        <f t="shared" si="30"/>
        <v>Feb-2026</v>
      </c>
      <c r="T205" t="str">
        <f t="shared" si="31"/>
        <v>OK</v>
      </c>
    </row>
    <row r="206" spans="1:20">
      <c r="A206" t="str">
        <f>TRIM(Raw_Data!A206)</f>
        <v>ORD-10205</v>
      </c>
      <c r="B206" s="12" t="str">
        <f>IFERROR(IF(ISNUMBER(Raw_Data!B206),Raw_Data!B206,DATEVALUE(Raw_Data!B206)),"")</f>
        <v/>
      </c>
      <c r="C206" t="str">
        <f>PROPER(TRIM(Raw_Data!C206))</f>
        <v>Bhoomika</v>
      </c>
      <c r="D206" t="str">
        <f>IF(TRIM(Raw_Data!D206)="Bangalore","Bengaluru",IF(TRIM(Raw_Data!D206)="Mysore","Mysuru",IF(TRIM(Raw_Data!D206)="Cochin","Kochi",PROPER(TRIM(Raw_Data!D206)))))</f>
        <v>Delhi</v>
      </c>
      <c r="E206" t="str">
        <f>PROPER(TRIM(Raw_Data!E206))</f>
        <v>Online</v>
      </c>
      <c r="F206" t="str">
        <f>PROPER(TRIM(Raw_Data!F206))</f>
        <v>Smb</v>
      </c>
      <c r="G206" t="str">
        <f>PROPER(TRIM(Raw_Data!G206))</f>
        <v>Keyboard</v>
      </c>
      <c r="H206" t="str">
        <f>PROPER(TRIM(Raw_Data!H206))</f>
        <v>Keyboard Office</v>
      </c>
      <c r="I206">
        <f>IFERROR(MAX(0,VALUE(Raw_Data!I206)),0)</f>
        <v>4</v>
      </c>
      <c r="J206" s="13">
        <f>IFERROR(VALUE(Raw_Data!J206),0)</f>
        <v>4590</v>
      </c>
      <c r="K206" s="14">
        <f>IFERROR(VALUE(Raw_Data!K206),0)</f>
        <v>0.05</v>
      </c>
      <c r="L206" t="str">
        <f>PROPER(TRIM(Raw_Data!L206))</f>
        <v>Pending</v>
      </c>
      <c r="M206" s="13">
        <f t="shared" si="24"/>
        <v>18360</v>
      </c>
      <c r="N206" s="13">
        <f t="shared" si="25"/>
        <v>918</v>
      </c>
      <c r="O206" s="13">
        <f t="shared" si="26"/>
        <v>17442</v>
      </c>
      <c r="P206" s="13">
        <f t="shared" si="27"/>
        <v>10648.8</v>
      </c>
      <c r="Q206" s="13">
        <f t="shared" si="28"/>
        <v>6793.2</v>
      </c>
      <c r="R206" s="10">
        <f t="shared" si="29"/>
        <v>0.389473684210526</v>
      </c>
      <c r="S206" t="str">
        <f t="shared" si="30"/>
        <v/>
      </c>
      <c r="T206" t="str">
        <f t="shared" si="31"/>
        <v>CHECK</v>
      </c>
    </row>
    <row r="207" spans="1:20">
      <c r="A207" t="str">
        <f>TRIM(Raw_Data!A207)</f>
        <v>ORD-10206</v>
      </c>
      <c r="B207" s="12">
        <f>IFERROR(IF(ISNUMBER(Raw_Data!B207),Raw_Data!B207,DATEVALUE(Raw_Data!B207)),"")</f>
        <v>46157</v>
      </c>
      <c r="C207" t="str">
        <f>PROPER(TRIM(Raw_Data!C207))</f>
        <v>Ravi</v>
      </c>
      <c r="D207" t="str">
        <f>IF(TRIM(Raw_Data!D207)="Bangalore","Bengaluru",IF(TRIM(Raw_Data!D207)="Mysore","Mysuru",IF(TRIM(Raw_Data!D207)="Cochin","Kochi",PROPER(TRIM(Raw_Data!D207)))))</f>
        <v>Hyderabad</v>
      </c>
      <c r="E207" t="str">
        <f>PROPER(TRIM(Raw_Data!E207))</f>
        <v>Corporate</v>
      </c>
      <c r="F207" t="str">
        <f>PROPER(TRIM(Raw_Data!F207))</f>
        <v>Smb</v>
      </c>
      <c r="G207" t="str">
        <f>PROPER(TRIM(Raw_Data!G207))</f>
        <v>Keyboard</v>
      </c>
      <c r="H207" t="str">
        <f>PROPER(TRIM(Raw_Data!H207))</f>
        <v>Keyboard Mechanical</v>
      </c>
      <c r="I207">
        <f>IFERROR(MAX(0,VALUE(Raw_Data!I207)),0)</f>
        <v>1</v>
      </c>
      <c r="J207" s="13">
        <f>IFERROR(VALUE(Raw_Data!J207),0)</f>
        <v>2287</v>
      </c>
      <c r="K207" s="14">
        <f>IFERROR(VALUE(Raw_Data!K207),0)</f>
        <v>0.08</v>
      </c>
      <c r="L207" t="str">
        <f>PROPER(TRIM(Raw_Data!L207))</f>
        <v>Pending</v>
      </c>
      <c r="M207" s="13">
        <f t="shared" si="24"/>
        <v>2287</v>
      </c>
      <c r="N207" s="13">
        <f t="shared" si="25"/>
        <v>182.96</v>
      </c>
      <c r="O207" s="13">
        <f t="shared" si="26"/>
        <v>2104.04</v>
      </c>
      <c r="P207" s="13">
        <f t="shared" si="27"/>
        <v>1326.46</v>
      </c>
      <c r="Q207" s="13">
        <f t="shared" si="28"/>
        <v>777.58</v>
      </c>
      <c r="R207" s="10">
        <f t="shared" si="29"/>
        <v>0.369565217391304</v>
      </c>
      <c r="S207" t="str">
        <f t="shared" si="30"/>
        <v>May-2026</v>
      </c>
      <c r="T207" t="str">
        <f t="shared" si="31"/>
        <v>OK</v>
      </c>
    </row>
    <row r="208" spans="1:20">
      <c r="A208" t="str">
        <f>TRIM(Raw_Data!A208)</f>
        <v>ORD-10207</v>
      </c>
      <c r="B208" s="12">
        <f>IFERROR(IF(ISNUMBER(Raw_Data!B208),Raw_Data!B208,DATEVALUE(Raw_Data!B208)),"")</f>
        <v>46074</v>
      </c>
      <c r="C208" t="str">
        <f>PROPER(TRIM(Raw_Data!C208))</f>
        <v>Asha</v>
      </c>
      <c r="D208" t="str">
        <f>IF(TRIM(Raw_Data!D208)="Bangalore","Bengaluru",IF(TRIM(Raw_Data!D208)="Mysore","Mysuru",IF(TRIM(Raw_Data!D208)="Cochin","Kochi",PROPER(TRIM(Raw_Data!D208)))))</f>
        <v>Mumbai</v>
      </c>
      <c r="E208" t="str">
        <f>PROPER(TRIM(Raw_Data!E208))</f>
        <v>Online</v>
      </c>
      <c r="F208" t="str">
        <f>PROPER(TRIM(Raw_Data!F208))</f>
        <v>Enterprise</v>
      </c>
      <c r="G208" t="str">
        <f>PROPER(TRIM(Raw_Data!G208))</f>
        <v>Monitor</v>
      </c>
      <c r="H208" t="str">
        <f>PROPER(TRIM(Raw_Data!H208))</f>
        <v>Monitor 27</v>
      </c>
      <c r="I208">
        <f>IFERROR(MAX(0,VALUE(Raw_Data!I208)),0)</f>
        <v>5</v>
      </c>
      <c r="J208" s="13">
        <f>IFERROR(VALUE(Raw_Data!J208),0)</f>
        <v>19457</v>
      </c>
      <c r="K208" s="14">
        <f>IFERROR(VALUE(Raw_Data!K208),0)</f>
        <v>0.02</v>
      </c>
      <c r="L208" t="str">
        <f>PROPER(TRIM(Raw_Data!L208))</f>
        <v>Delivered</v>
      </c>
      <c r="M208" s="13">
        <f t="shared" si="24"/>
        <v>97285</v>
      </c>
      <c r="N208" s="13">
        <f t="shared" si="25"/>
        <v>1945.7</v>
      </c>
      <c r="O208" s="13">
        <f t="shared" si="26"/>
        <v>95339.3</v>
      </c>
      <c r="P208" s="13">
        <f t="shared" si="27"/>
        <v>68099.5</v>
      </c>
      <c r="Q208" s="13">
        <f t="shared" si="28"/>
        <v>27239.8</v>
      </c>
      <c r="R208" s="10">
        <f t="shared" si="29"/>
        <v>0.285714285714286</v>
      </c>
      <c r="S208" t="str">
        <f t="shared" si="30"/>
        <v>Feb-2026</v>
      </c>
      <c r="T208" t="str">
        <f t="shared" si="31"/>
        <v>OK</v>
      </c>
    </row>
    <row r="209" spans="1:20">
      <c r="A209" t="str">
        <f>TRIM(Raw_Data!A209)</f>
        <v>ORD-10208</v>
      </c>
      <c r="B209" s="12">
        <f>IFERROR(IF(ISNUMBER(Raw_Data!B209),Raw_Data!B209,DATEVALUE(Raw_Data!B209)),"")</f>
        <v>46136</v>
      </c>
      <c r="C209" t="str">
        <f>PROPER(TRIM(Raw_Data!C209))</f>
        <v>Neha</v>
      </c>
      <c r="D209" t="str">
        <f>IF(TRIM(Raw_Data!D209)="Bangalore","Bengaluru",IF(TRIM(Raw_Data!D209)="Mysore","Mysuru",IF(TRIM(Raw_Data!D209)="Cochin","Kochi",PROPER(TRIM(Raw_Data!D209)))))</f>
        <v>Bengaluru</v>
      </c>
      <c r="E209" t="str">
        <f>PROPER(TRIM(Raw_Data!E209))</f>
        <v>Online</v>
      </c>
      <c r="F209" t="str">
        <f>PROPER(TRIM(Raw_Data!F209))</f>
        <v>Consumer</v>
      </c>
      <c r="G209" t="str">
        <f>PROPER(TRIM(Raw_Data!G209))</f>
        <v>Laptop</v>
      </c>
      <c r="H209" t="str">
        <f>PROPER(TRIM(Raw_Data!H209))</f>
        <v>Laptop Pro 14</v>
      </c>
      <c r="I209">
        <f>IFERROR(MAX(0,VALUE(Raw_Data!I209)),0)</f>
        <v>2</v>
      </c>
      <c r="J209" s="13">
        <f>IFERROR(VALUE(Raw_Data!J209),0)</f>
        <v>75850</v>
      </c>
      <c r="K209" s="14">
        <f>IFERROR(VALUE(Raw_Data!K209),0)</f>
        <v>0.08</v>
      </c>
      <c r="L209" t="str">
        <f>PROPER(TRIM(Raw_Data!L209))</f>
        <v>Pending</v>
      </c>
      <c r="M209" s="13">
        <f t="shared" si="24"/>
        <v>151700</v>
      </c>
      <c r="N209" s="13">
        <f t="shared" si="25"/>
        <v>12136</v>
      </c>
      <c r="O209" s="13">
        <f t="shared" si="26"/>
        <v>139564</v>
      </c>
      <c r="P209" s="13">
        <f t="shared" si="27"/>
        <v>118326</v>
      </c>
      <c r="Q209" s="13">
        <f t="shared" si="28"/>
        <v>21238</v>
      </c>
      <c r="R209" s="10">
        <f t="shared" si="29"/>
        <v>0.152173913043478</v>
      </c>
      <c r="S209" t="str">
        <f t="shared" si="30"/>
        <v>Apr-2026</v>
      </c>
      <c r="T209" t="str">
        <f t="shared" si="31"/>
        <v>OK</v>
      </c>
    </row>
    <row r="210" spans="1:20">
      <c r="A210" t="str">
        <f>TRIM(Raw_Data!A210)</f>
        <v>ORD-10209</v>
      </c>
      <c r="B210" s="12">
        <f>IFERROR(IF(ISNUMBER(Raw_Data!B210),Raw_Data!B210,DATEVALUE(Raw_Data!B210)),"")</f>
        <v>46139</v>
      </c>
      <c r="C210" t="str">
        <f>PROPER(TRIM(Raw_Data!C210))</f>
        <v>Arjun</v>
      </c>
      <c r="D210" t="str">
        <f>IF(TRIM(Raw_Data!D210)="Bangalore","Bengaluru",IF(TRIM(Raw_Data!D210)="Mysore","Mysuru",IF(TRIM(Raw_Data!D210)="Cochin","Kochi",PROPER(TRIM(Raw_Data!D210)))))</f>
        <v>Mysuru</v>
      </c>
      <c r="E210" t="str">
        <f>PROPER(TRIM(Raw_Data!E210))</f>
        <v>Retail Store</v>
      </c>
      <c r="F210" t="str">
        <f>PROPER(TRIM(Raw_Data!F210))</f>
        <v>Smb</v>
      </c>
      <c r="G210" t="str">
        <f>PROPER(TRIM(Raw_Data!G210))</f>
        <v>Keyboard</v>
      </c>
      <c r="H210" t="str">
        <f>PROPER(TRIM(Raw_Data!H210))</f>
        <v>Keyboard Office</v>
      </c>
      <c r="I210">
        <f>IFERROR(MAX(0,VALUE(Raw_Data!I210)),0)</f>
        <v>5</v>
      </c>
      <c r="J210" s="13">
        <f>IFERROR(VALUE(Raw_Data!J210),0)</f>
        <v>3033</v>
      </c>
      <c r="K210" s="14">
        <f>IFERROR(VALUE(Raw_Data!K210),0)</f>
        <v>0.05</v>
      </c>
      <c r="L210" t="str">
        <f>PROPER(TRIM(Raw_Data!L210))</f>
        <v>Pending</v>
      </c>
      <c r="M210" s="13">
        <f t="shared" si="24"/>
        <v>15165</v>
      </c>
      <c r="N210" s="13">
        <f t="shared" si="25"/>
        <v>758.25</v>
      </c>
      <c r="O210" s="13">
        <f t="shared" si="26"/>
        <v>14406.75</v>
      </c>
      <c r="P210" s="13">
        <f t="shared" si="27"/>
        <v>8795.7</v>
      </c>
      <c r="Q210" s="13">
        <f t="shared" si="28"/>
        <v>5611.05</v>
      </c>
      <c r="R210" s="10">
        <f t="shared" si="29"/>
        <v>0.389473684210526</v>
      </c>
      <c r="S210" t="str">
        <f t="shared" si="30"/>
        <v>Apr-2026</v>
      </c>
      <c r="T210" t="str">
        <f t="shared" si="31"/>
        <v>OK</v>
      </c>
    </row>
    <row r="211" spans="1:20">
      <c r="A211" t="str">
        <f>TRIM(Raw_Data!A211)</f>
        <v>ORD-10210</v>
      </c>
      <c r="B211" s="12">
        <f>IFERROR(IF(ISNUMBER(Raw_Data!B211),Raw_Data!B211,DATEVALUE(Raw_Data!B211)),"")</f>
        <v>46205</v>
      </c>
      <c r="C211" t="str">
        <f>PROPER(TRIM(Raw_Data!C211))</f>
        <v>Priya</v>
      </c>
      <c r="D211" t="str">
        <f>IF(TRIM(Raw_Data!D211)="Bangalore","Bengaluru",IF(TRIM(Raw_Data!D211)="Mysore","Mysuru",IF(TRIM(Raw_Data!D211)="Cochin","Kochi",PROPER(TRIM(Raw_Data!D211)))))</f>
        <v>Chennai</v>
      </c>
      <c r="E211" t="str">
        <f>PROPER(TRIM(Raw_Data!E211))</f>
        <v>Retail Store</v>
      </c>
      <c r="F211" t="str">
        <f>PROPER(TRIM(Raw_Data!F211))</f>
        <v>Consumer</v>
      </c>
      <c r="G211" t="str">
        <f>PROPER(TRIM(Raw_Data!G211))</f>
        <v>Laptop</v>
      </c>
      <c r="H211" t="str">
        <f>PROPER(TRIM(Raw_Data!H211))</f>
        <v>Laptop Air 13</v>
      </c>
      <c r="I211">
        <f>IFERROR(MAX(0,VALUE(Raw_Data!I211)),0)</f>
        <v>7</v>
      </c>
      <c r="J211" s="13">
        <f>IFERROR(VALUE(Raw_Data!J211),0)</f>
        <v>64799</v>
      </c>
      <c r="K211" s="14">
        <f>IFERROR(VALUE(Raw_Data!K211),0)</f>
        <v>0.02</v>
      </c>
      <c r="L211" t="str">
        <f>PROPER(TRIM(Raw_Data!L211))</f>
        <v>Cancelled</v>
      </c>
      <c r="M211" s="13">
        <f t="shared" si="24"/>
        <v>453593</v>
      </c>
      <c r="N211" s="13">
        <f t="shared" si="25"/>
        <v>9071.86</v>
      </c>
      <c r="O211" s="13">
        <f t="shared" si="26"/>
        <v>444521.14</v>
      </c>
      <c r="P211" s="13">
        <f t="shared" si="27"/>
        <v>353802.54</v>
      </c>
      <c r="Q211" s="13">
        <f t="shared" si="28"/>
        <v>90718.6</v>
      </c>
      <c r="R211" s="10">
        <f t="shared" si="29"/>
        <v>0.204081632653061</v>
      </c>
      <c r="S211" t="str">
        <f t="shared" si="30"/>
        <v>Jul-2026</v>
      </c>
      <c r="T211" t="str">
        <f t="shared" si="31"/>
        <v>OK</v>
      </c>
    </row>
    <row r="212" spans="1:20">
      <c r="A212" t="str">
        <f>TRIM(Raw_Data!A212)</f>
        <v>ORD-10211</v>
      </c>
      <c r="B212" s="12">
        <f>IFERROR(IF(ISNUMBER(Raw_Data!B212),Raw_Data!B212,DATEVALUE(Raw_Data!B212)),"")</f>
        <v>46237</v>
      </c>
      <c r="C212" t="str">
        <f>PROPER(TRIM(Raw_Data!C212))</f>
        <v>Kiran</v>
      </c>
      <c r="D212" t="str">
        <f>IF(TRIM(Raw_Data!D212)="Bangalore","Bengaluru",IF(TRIM(Raw_Data!D212)="Mysore","Mysuru",IF(TRIM(Raw_Data!D212)="Cochin","Kochi",PROPER(TRIM(Raw_Data!D212)))))</f>
        <v>Mysuru</v>
      </c>
      <c r="E212" t="str">
        <f>PROPER(TRIM(Raw_Data!E212))</f>
        <v>Online</v>
      </c>
      <c r="F212" t="str">
        <f>PROPER(TRIM(Raw_Data!F212))</f>
        <v>Smb</v>
      </c>
      <c r="G212" t="str">
        <f>PROPER(TRIM(Raw_Data!G212))</f>
        <v>Mouse</v>
      </c>
      <c r="H212" t="str">
        <f>PROPER(TRIM(Raw_Data!H212))</f>
        <v>Mouse Wireless</v>
      </c>
      <c r="I212">
        <f>IFERROR(MAX(0,VALUE(Raw_Data!I212)),0)</f>
        <v>5</v>
      </c>
      <c r="J212" s="13">
        <f>IFERROR(VALUE(Raw_Data!J212),0)</f>
        <v>2523</v>
      </c>
      <c r="K212" s="14">
        <f>IFERROR(VALUE(Raw_Data!K212),0)</f>
        <v>0.08</v>
      </c>
      <c r="L212" t="str">
        <f>PROPER(TRIM(Raw_Data!L212))</f>
        <v>Delivered</v>
      </c>
      <c r="M212" s="13">
        <f t="shared" si="24"/>
        <v>12615</v>
      </c>
      <c r="N212" s="13">
        <f t="shared" si="25"/>
        <v>1009.2</v>
      </c>
      <c r="O212" s="13">
        <f t="shared" si="26"/>
        <v>11605.8</v>
      </c>
      <c r="P212" s="13">
        <f t="shared" si="27"/>
        <v>6938.25</v>
      </c>
      <c r="Q212" s="13">
        <f t="shared" si="28"/>
        <v>4667.55</v>
      </c>
      <c r="R212" s="10">
        <f t="shared" si="29"/>
        <v>0.402173913043478</v>
      </c>
      <c r="S212" t="str">
        <f t="shared" si="30"/>
        <v>Aug-2026</v>
      </c>
      <c r="T212" t="str">
        <f t="shared" si="31"/>
        <v>OK</v>
      </c>
    </row>
    <row r="213" spans="1:20">
      <c r="A213" t="str">
        <f>TRIM(Raw_Data!A213)</f>
        <v>ORD-10212</v>
      </c>
      <c r="B213" s="12">
        <f>IFERROR(IF(ISNUMBER(Raw_Data!B213),Raw_Data!B213,DATEVALUE(Raw_Data!B213)),"")</f>
        <v>46247</v>
      </c>
      <c r="C213" t="str">
        <f>PROPER(TRIM(Raw_Data!C213))</f>
        <v>Asha</v>
      </c>
      <c r="D213" t="str">
        <f>IF(TRIM(Raw_Data!D213)="Bangalore","Bengaluru",IF(TRIM(Raw_Data!D213)="Mysore","Mysuru",IF(TRIM(Raw_Data!D213)="Cochin","Kochi",PROPER(TRIM(Raw_Data!D213)))))</f>
        <v>Mumbai</v>
      </c>
      <c r="E213" t="str">
        <f>PROPER(TRIM(Raw_Data!E213))</f>
        <v>Retail Store</v>
      </c>
      <c r="F213" t="str">
        <f>PROPER(TRIM(Raw_Data!F213))</f>
        <v>Enterprise</v>
      </c>
      <c r="G213" t="str">
        <f>PROPER(TRIM(Raw_Data!G213))</f>
        <v>Keyboard</v>
      </c>
      <c r="H213" t="str">
        <f>PROPER(TRIM(Raw_Data!H213))</f>
        <v>Keyboard Mechanical</v>
      </c>
      <c r="I213">
        <f>IFERROR(MAX(0,VALUE(Raw_Data!I213)),0)</f>
        <v>7</v>
      </c>
      <c r="J213" s="13">
        <f>IFERROR(VALUE(Raw_Data!J213),0)</f>
        <v>1931</v>
      </c>
      <c r="K213" s="14">
        <f>IFERROR(VALUE(Raw_Data!K213),0)</f>
        <v>0.02</v>
      </c>
      <c r="L213" t="str">
        <f>PROPER(TRIM(Raw_Data!L213))</f>
        <v>Delivered</v>
      </c>
      <c r="M213" s="13">
        <f t="shared" si="24"/>
        <v>13517</v>
      </c>
      <c r="N213" s="13">
        <f t="shared" si="25"/>
        <v>270.34</v>
      </c>
      <c r="O213" s="13">
        <f t="shared" si="26"/>
        <v>13246.66</v>
      </c>
      <c r="P213" s="13">
        <f t="shared" si="27"/>
        <v>7839.86</v>
      </c>
      <c r="Q213" s="13">
        <f t="shared" si="28"/>
        <v>5406.8</v>
      </c>
      <c r="R213" s="10">
        <f t="shared" si="29"/>
        <v>0.408163265306122</v>
      </c>
      <c r="S213" t="str">
        <f t="shared" si="30"/>
        <v>Aug-2026</v>
      </c>
      <c r="T213" t="str">
        <f t="shared" si="31"/>
        <v>OK</v>
      </c>
    </row>
    <row r="214" spans="1:20">
      <c r="A214" t="str">
        <f>TRIM(Raw_Data!A214)</f>
        <v>ORD-10213</v>
      </c>
      <c r="B214" s="12">
        <f>IFERROR(IF(ISNUMBER(Raw_Data!B214),Raw_Data!B214,DATEVALUE(Raw_Data!B214)),"")</f>
        <v>46067</v>
      </c>
      <c r="C214" t="str">
        <f>PROPER(TRIM(Raw_Data!C214))</f>
        <v>Ravi</v>
      </c>
      <c r="D214" t="str">
        <f>IF(TRIM(Raw_Data!D214)="Bangalore","Bengaluru",IF(TRIM(Raw_Data!D214)="Mysore","Mysuru",IF(TRIM(Raw_Data!D214)="Cochin","Kochi",PROPER(TRIM(Raw_Data!D214)))))</f>
        <v>Pune</v>
      </c>
      <c r="E214" t="str">
        <f>PROPER(TRIM(Raw_Data!E214))</f>
        <v>Retail Store</v>
      </c>
      <c r="F214" t="str">
        <f>PROPER(TRIM(Raw_Data!F214))</f>
        <v>Smb</v>
      </c>
      <c r="G214" t="str">
        <f>PROPER(TRIM(Raw_Data!G214))</f>
        <v>Mouse</v>
      </c>
      <c r="H214" t="str">
        <f>PROPER(TRIM(Raw_Data!H214))</f>
        <v>Mouse Wireless</v>
      </c>
      <c r="I214">
        <f>IFERROR(MAX(0,VALUE(Raw_Data!I214)),0)</f>
        <v>5</v>
      </c>
      <c r="J214" s="13">
        <f>IFERROR(VALUE(Raw_Data!J214),0)</f>
        <v>2408</v>
      </c>
      <c r="K214" s="14">
        <f>IFERROR(VALUE(Raw_Data!K214),0)</f>
        <v>0.15</v>
      </c>
      <c r="L214" t="str">
        <f>PROPER(TRIM(Raw_Data!L214))</f>
        <v>Delivered</v>
      </c>
      <c r="M214" s="13">
        <f t="shared" si="24"/>
        <v>12040</v>
      </c>
      <c r="N214" s="13">
        <f t="shared" si="25"/>
        <v>1806</v>
      </c>
      <c r="O214" s="13">
        <f t="shared" si="26"/>
        <v>10234</v>
      </c>
      <c r="P214" s="13">
        <f t="shared" si="27"/>
        <v>6622</v>
      </c>
      <c r="Q214" s="13">
        <f t="shared" si="28"/>
        <v>3612</v>
      </c>
      <c r="R214" s="10">
        <f t="shared" si="29"/>
        <v>0.352941176470588</v>
      </c>
      <c r="S214" t="str">
        <f t="shared" si="30"/>
        <v>Feb-2026</v>
      </c>
      <c r="T214" t="str">
        <f t="shared" si="31"/>
        <v>OK</v>
      </c>
    </row>
    <row r="215" spans="1:20">
      <c r="A215" t="str">
        <f>TRIM(Raw_Data!A215)</f>
        <v>ORD-10214</v>
      </c>
      <c r="B215" s="12">
        <f>IFERROR(IF(ISNUMBER(Raw_Data!B215),Raw_Data!B215,DATEVALUE(Raw_Data!B215)),"")</f>
        <v>46232</v>
      </c>
      <c r="C215" t="str">
        <f>PROPER(TRIM(Raw_Data!C215))</f>
        <v>Bhoomika</v>
      </c>
      <c r="D215" t="str">
        <f>IF(TRIM(Raw_Data!D215)="Bangalore","Bengaluru",IF(TRIM(Raw_Data!D215)="Mysore","Mysuru",IF(TRIM(Raw_Data!D215)="Cochin","Kochi",PROPER(TRIM(Raw_Data!D215)))))</f>
        <v>Delhi</v>
      </c>
      <c r="E215" t="str">
        <f>PROPER(TRIM(Raw_Data!E215))</f>
        <v>Retail Store</v>
      </c>
      <c r="F215" t="str">
        <f>PROPER(TRIM(Raw_Data!F215))</f>
        <v>Smb</v>
      </c>
      <c r="G215" t="str">
        <f>PROPER(TRIM(Raw_Data!G215))</f>
        <v>Mouse</v>
      </c>
      <c r="H215" t="str">
        <f>PROPER(TRIM(Raw_Data!H215))</f>
        <v>Mouse Ergonomic</v>
      </c>
      <c r="I215">
        <f>IFERROR(MAX(0,VALUE(Raw_Data!I215)),0)</f>
        <v>8</v>
      </c>
      <c r="J215" s="13">
        <f>IFERROR(VALUE(Raw_Data!J215),0)</f>
        <v>3176</v>
      </c>
      <c r="K215" s="14">
        <f>IFERROR(VALUE(Raw_Data!K215),0)</f>
        <v>0.15</v>
      </c>
      <c r="L215" t="str">
        <f>PROPER(TRIM(Raw_Data!L215))</f>
        <v>Delivered</v>
      </c>
      <c r="M215" s="13">
        <f t="shared" si="24"/>
        <v>25408</v>
      </c>
      <c r="N215" s="13">
        <f t="shared" si="25"/>
        <v>3811.2</v>
      </c>
      <c r="O215" s="13">
        <f t="shared" si="26"/>
        <v>21596.8</v>
      </c>
      <c r="P215" s="13">
        <f t="shared" si="27"/>
        <v>13974.4</v>
      </c>
      <c r="Q215" s="13">
        <f t="shared" si="28"/>
        <v>7622.4</v>
      </c>
      <c r="R215" s="10">
        <f t="shared" si="29"/>
        <v>0.352941176470588</v>
      </c>
      <c r="S215" t="str">
        <f t="shared" si="30"/>
        <v>Jul-2026</v>
      </c>
      <c r="T215" t="str">
        <f t="shared" si="31"/>
        <v>OK</v>
      </c>
    </row>
    <row r="216" spans="1:20">
      <c r="A216" t="str">
        <f>TRIM(Raw_Data!A216)</f>
        <v>ORD-10215</v>
      </c>
      <c r="B216" s="12">
        <f>IFERROR(IF(ISNUMBER(Raw_Data!B216),Raw_Data!B216,DATEVALUE(Raw_Data!B216)),"")</f>
        <v>46222</v>
      </c>
      <c r="C216" t="str">
        <f>PROPER(TRIM(Raw_Data!C216))</f>
        <v>Bhoomika</v>
      </c>
      <c r="D216" t="str">
        <f>IF(TRIM(Raw_Data!D216)="Bangalore","Bengaluru",IF(TRIM(Raw_Data!D216)="Mysore","Mysuru",IF(TRIM(Raw_Data!D216)="Cochin","Kochi",PROPER(TRIM(Raw_Data!D216)))))</f>
        <v>Chennai</v>
      </c>
      <c r="E216" t="str">
        <f>PROPER(TRIM(Raw_Data!E216))</f>
        <v>Corporate</v>
      </c>
      <c r="F216" t="str">
        <f>PROPER(TRIM(Raw_Data!F216))</f>
        <v>Enterprise</v>
      </c>
      <c r="G216" t="str">
        <f>PROPER(TRIM(Raw_Data!G216))</f>
        <v>Keyboard</v>
      </c>
      <c r="H216" t="str">
        <f>PROPER(TRIM(Raw_Data!H216))</f>
        <v>Keyboard Mechanical</v>
      </c>
      <c r="I216">
        <f>IFERROR(MAX(0,VALUE(Raw_Data!I216)),0)</f>
        <v>2</v>
      </c>
      <c r="J216" s="13">
        <f>IFERROR(VALUE(Raw_Data!J216),0)</f>
        <v>3208</v>
      </c>
      <c r="K216" s="14">
        <f>IFERROR(VALUE(Raw_Data!K216),0)</f>
        <v>0.15</v>
      </c>
      <c r="L216" t="str">
        <f>PROPER(TRIM(Raw_Data!L216))</f>
        <v>Returned</v>
      </c>
      <c r="M216" s="13">
        <f t="shared" si="24"/>
        <v>6416</v>
      </c>
      <c r="N216" s="13">
        <f t="shared" si="25"/>
        <v>962.4</v>
      </c>
      <c r="O216" s="13">
        <f t="shared" si="26"/>
        <v>5453.6</v>
      </c>
      <c r="P216" s="13">
        <f t="shared" si="27"/>
        <v>3721.28</v>
      </c>
      <c r="Q216" s="13">
        <f t="shared" si="28"/>
        <v>1732.32</v>
      </c>
      <c r="R216" s="10">
        <f t="shared" si="29"/>
        <v>0.31764705882353</v>
      </c>
      <c r="S216" t="str">
        <f t="shared" si="30"/>
        <v>Jul-2026</v>
      </c>
      <c r="T216" t="str">
        <f t="shared" si="31"/>
        <v>OK</v>
      </c>
    </row>
    <row r="217" spans="1:20">
      <c r="A217" t="str">
        <f>TRIM(Raw_Data!A217)</f>
        <v>ORD-10216</v>
      </c>
      <c r="B217" s="12">
        <f>IFERROR(IF(ISNUMBER(Raw_Data!B217),Raw_Data!B217,DATEVALUE(Raw_Data!B217)),"")</f>
        <v>46175</v>
      </c>
      <c r="C217" t="str">
        <f>PROPER(TRIM(Raw_Data!C217))</f>
        <v>Neha</v>
      </c>
      <c r="D217" t="str">
        <f>IF(TRIM(Raw_Data!D217)="Bangalore","Bengaluru",IF(TRIM(Raw_Data!D217)="Mysore","Mysuru",IF(TRIM(Raw_Data!D217)="Cochin","Kochi",PROPER(TRIM(Raw_Data!D217)))))</f>
        <v>Mumbai</v>
      </c>
      <c r="E217" t="str">
        <f>PROPER(TRIM(Raw_Data!E217))</f>
        <v>Retail Store</v>
      </c>
      <c r="F217" t="str">
        <f>PROPER(TRIM(Raw_Data!F217))</f>
        <v>Consumer</v>
      </c>
      <c r="G217" t="str">
        <f>PROPER(TRIM(Raw_Data!G217))</f>
        <v>Keyboard</v>
      </c>
      <c r="H217" t="str">
        <f>PROPER(TRIM(Raw_Data!H217))</f>
        <v>Keyboard Office</v>
      </c>
      <c r="I217">
        <f>IFERROR(MAX(0,VALUE(Raw_Data!I217)),0)</f>
        <v>5</v>
      </c>
      <c r="J217" s="13">
        <f>IFERROR(VALUE(Raw_Data!J217),0)</f>
        <v>2585</v>
      </c>
      <c r="K217" s="14">
        <f>IFERROR(VALUE(Raw_Data!K217),0)</f>
        <v>0.15</v>
      </c>
      <c r="L217" t="str">
        <f>PROPER(TRIM(Raw_Data!L217))</f>
        <v>Cancelled</v>
      </c>
      <c r="M217" s="13">
        <f t="shared" si="24"/>
        <v>12925</v>
      </c>
      <c r="N217" s="13">
        <f t="shared" si="25"/>
        <v>1938.75</v>
      </c>
      <c r="O217" s="13">
        <f t="shared" si="26"/>
        <v>10986.25</v>
      </c>
      <c r="P217" s="13">
        <f t="shared" si="27"/>
        <v>7496.5</v>
      </c>
      <c r="Q217" s="13">
        <f t="shared" si="28"/>
        <v>3489.75</v>
      </c>
      <c r="R217" s="10">
        <f t="shared" si="29"/>
        <v>0.31764705882353</v>
      </c>
      <c r="S217" t="str">
        <f t="shared" si="30"/>
        <v>Jun-2026</v>
      </c>
      <c r="T217" t="str">
        <f t="shared" si="31"/>
        <v>OK</v>
      </c>
    </row>
    <row r="218" spans="1:20">
      <c r="A218" t="str">
        <f>TRIM(Raw_Data!A218)</f>
        <v>ORD-10217</v>
      </c>
      <c r="B218" s="12">
        <f>IFERROR(IF(ISNUMBER(Raw_Data!B218),Raw_Data!B218,DATEVALUE(Raw_Data!B218)),"")</f>
        <v>46089</v>
      </c>
      <c r="C218" t="str">
        <f>PROPER(TRIM(Raw_Data!C218))</f>
        <v>Meghana</v>
      </c>
      <c r="D218" t="str">
        <f>IF(TRIM(Raw_Data!D218)="Bangalore","Bengaluru",IF(TRIM(Raw_Data!D218)="Mysore","Mysuru",IF(TRIM(Raw_Data!D218)="Cochin","Kochi",PROPER(TRIM(Raw_Data!D218)))))</f>
        <v>Hyderabad</v>
      </c>
      <c r="E218" t="str">
        <f>PROPER(TRIM(Raw_Data!E218))</f>
        <v>Online</v>
      </c>
      <c r="F218" t="str">
        <f>PROPER(TRIM(Raw_Data!F218))</f>
        <v>Consumer</v>
      </c>
      <c r="G218" t="str">
        <f>PROPER(TRIM(Raw_Data!G218))</f>
        <v>Monitor</v>
      </c>
      <c r="H218" t="str">
        <f>PROPER(TRIM(Raw_Data!H218))</f>
        <v>Monitor 27</v>
      </c>
      <c r="I218">
        <f>IFERROR(MAX(0,VALUE(Raw_Data!I218)),0)</f>
        <v>3</v>
      </c>
      <c r="J218" s="13">
        <f>IFERROR(VALUE(Raw_Data!J218),0)</f>
        <v>10084</v>
      </c>
      <c r="K218" s="14">
        <f>IFERROR(VALUE(Raw_Data!K218),0)</f>
        <v>0.08</v>
      </c>
      <c r="L218" t="str">
        <f>PROPER(TRIM(Raw_Data!L218))</f>
        <v>Pending</v>
      </c>
      <c r="M218" s="13">
        <f t="shared" si="24"/>
        <v>30252</v>
      </c>
      <c r="N218" s="13">
        <f t="shared" si="25"/>
        <v>2420.16</v>
      </c>
      <c r="O218" s="13">
        <f t="shared" si="26"/>
        <v>27831.84</v>
      </c>
      <c r="P218" s="13">
        <f t="shared" si="27"/>
        <v>21176.4</v>
      </c>
      <c r="Q218" s="13">
        <f t="shared" si="28"/>
        <v>6655.44</v>
      </c>
      <c r="R218" s="10">
        <f t="shared" si="29"/>
        <v>0.239130434782609</v>
      </c>
      <c r="S218" t="str">
        <f t="shared" si="30"/>
        <v>Mar-2026</v>
      </c>
      <c r="T218" t="str">
        <f t="shared" si="31"/>
        <v>OK</v>
      </c>
    </row>
    <row r="219" spans="1:20">
      <c r="A219" t="str">
        <f>TRIM(Raw_Data!A219)</f>
        <v>ORD-10218</v>
      </c>
      <c r="B219" s="12">
        <f>IFERROR(IF(ISNUMBER(Raw_Data!B219),Raw_Data!B219,DATEVALUE(Raw_Data!B219)),"")</f>
        <v>46215</v>
      </c>
      <c r="C219" t="str">
        <f>PROPER(TRIM(Raw_Data!C219))</f>
        <v>Neha</v>
      </c>
      <c r="D219" t="str">
        <f>IF(TRIM(Raw_Data!D219)="Bangalore","Bengaluru",IF(TRIM(Raw_Data!D219)="Mysore","Mysuru",IF(TRIM(Raw_Data!D219)="Cochin","Kochi",PROPER(TRIM(Raw_Data!D219)))))</f>
        <v>Kochi</v>
      </c>
      <c r="E219" t="str">
        <f>PROPER(TRIM(Raw_Data!E219))</f>
        <v>Corporate</v>
      </c>
      <c r="F219" t="str">
        <f>PROPER(TRIM(Raw_Data!F219))</f>
        <v>Smb</v>
      </c>
      <c r="G219" t="str">
        <f>PROPER(TRIM(Raw_Data!G219))</f>
        <v>Headset</v>
      </c>
      <c r="H219" t="str">
        <f>PROPER(TRIM(Raw_Data!H219))</f>
        <v>Headset Pro</v>
      </c>
      <c r="I219">
        <f>IFERROR(MAX(0,VALUE(Raw_Data!I219)),0)</f>
        <v>7</v>
      </c>
      <c r="J219" s="13">
        <f>IFERROR(VALUE(Raw_Data!J219),0)</f>
        <v>5845</v>
      </c>
      <c r="K219" s="14">
        <f>IFERROR(VALUE(Raw_Data!K219),0)</f>
        <v>0</v>
      </c>
      <c r="L219" t="str">
        <f>PROPER(TRIM(Raw_Data!L219))</f>
        <v>Delivered</v>
      </c>
      <c r="M219" s="13">
        <f t="shared" si="24"/>
        <v>40915</v>
      </c>
      <c r="N219" s="13">
        <f t="shared" si="25"/>
        <v>0</v>
      </c>
      <c r="O219" s="13">
        <f t="shared" si="26"/>
        <v>40915</v>
      </c>
      <c r="P219" s="13">
        <f t="shared" si="27"/>
        <v>24549</v>
      </c>
      <c r="Q219" s="13">
        <f t="shared" si="28"/>
        <v>16366</v>
      </c>
      <c r="R219" s="10">
        <f t="shared" si="29"/>
        <v>0.4</v>
      </c>
      <c r="S219" t="str">
        <f t="shared" si="30"/>
        <v>Jul-2026</v>
      </c>
      <c r="T219" t="str">
        <f t="shared" si="31"/>
        <v>OK</v>
      </c>
    </row>
    <row r="220" spans="1:20">
      <c r="A220" t="str">
        <f>TRIM(Raw_Data!A220)</f>
        <v>ORD-10219</v>
      </c>
      <c r="B220" s="12">
        <f>IFERROR(IF(ISNUMBER(Raw_Data!B220),Raw_Data!B220,DATEVALUE(Raw_Data!B220)),"")</f>
        <v>46190</v>
      </c>
      <c r="C220" t="str">
        <f>PROPER(TRIM(Raw_Data!C220))</f>
        <v>Asha</v>
      </c>
      <c r="D220" t="str">
        <f>IF(TRIM(Raw_Data!D220)="Bangalore","Bengaluru",IF(TRIM(Raw_Data!D220)="Mysore","Mysuru",IF(TRIM(Raw_Data!D220)="Cochin","Kochi",PROPER(TRIM(Raw_Data!D220)))))</f>
        <v>Mysuru</v>
      </c>
      <c r="E220" t="str">
        <f>PROPER(TRIM(Raw_Data!E220))</f>
        <v>Online</v>
      </c>
      <c r="F220" t="str">
        <f>PROPER(TRIM(Raw_Data!F220))</f>
        <v>Consumer</v>
      </c>
      <c r="G220" t="str">
        <f>PROPER(TRIM(Raw_Data!G220))</f>
        <v>Headset</v>
      </c>
      <c r="H220" t="str">
        <f>PROPER(TRIM(Raw_Data!H220))</f>
        <v>Headset Wireless</v>
      </c>
      <c r="I220">
        <f>IFERROR(MAX(0,VALUE(Raw_Data!I220)),0)</f>
        <v>3</v>
      </c>
      <c r="J220" s="13">
        <f>IFERROR(VALUE(Raw_Data!J220),0)</f>
        <v>7051</v>
      </c>
      <c r="K220" s="14">
        <f>IFERROR(VALUE(Raw_Data!K220),0)</f>
        <v>0.05</v>
      </c>
      <c r="L220" t="str">
        <f>PROPER(TRIM(Raw_Data!L220))</f>
        <v>Cancelled</v>
      </c>
      <c r="M220" s="13">
        <f t="shared" si="24"/>
        <v>21153</v>
      </c>
      <c r="N220" s="13">
        <f t="shared" si="25"/>
        <v>1057.65</v>
      </c>
      <c r="O220" s="13">
        <f t="shared" si="26"/>
        <v>20095.35</v>
      </c>
      <c r="P220" s="13">
        <f t="shared" si="27"/>
        <v>12691.8</v>
      </c>
      <c r="Q220" s="13">
        <f t="shared" si="28"/>
        <v>7403.55</v>
      </c>
      <c r="R220" s="10">
        <f t="shared" si="29"/>
        <v>0.368421052631579</v>
      </c>
      <c r="S220" t="str">
        <f t="shared" si="30"/>
        <v>Jun-2026</v>
      </c>
      <c r="T220" t="str">
        <f t="shared" si="31"/>
        <v>OK</v>
      </c>
    </row>
    <row r="221" spans="1:20">
      <c r="A221" t="str">
        <f>TRIM(Raw_Data!A221)</f>
        <v>ORD-10220</v>
      </c>
      <c r="B221" s="12">
        <f>IFERROR(IF(ISNUMBER(Raw_Data!B221),Raw_Data!B221,DATEVALUE(Raw_Data!B221)),"")</f>
        <v>46078</v>
      </c>
      <c r="C221" t="str">
        <f>PROPER(TRIM(Raw_Data!C221))</f>
        <v>Bhoomika</v>
      </c>
      <c r="D221" t="str">
        <f>IF(TRIM(Raw_Data!D221)="Bangalore","Bengaluru",IF(TRIM(Raw_Data!D221)="Mysore","Mysuru",IF(TRIM(Raw_Data!D221)="Cochin","Kochi",PROPER(TRIM(Raw_Data!D221)))))</f>
        <v>Chennai</v>
      </c>
      <c r="E221" t="str">
        <f>PROPER(TRIM(Raw_Data!E221))</f>
        <v>Corporate</v>
      </c>
      <c r="F221" t="str">
        <f>PROPER(TRIM(Raw_Data!F221))</f>
        <v>Enterprise</v>
      </c>
      <c r="G221" t="str">
        <f>PROPER(TRIM(Raw_Data!G221))</f>
        <v>Headset</v>
      </c>
      <c r="H221" t="str">
        <f>PROPER(TRIM(Raw_Data!H221))</f>
        <v>Headset Office</v>
      </c>
      <c r="I221">
        <f>IFERROR(MAX(0,VALUE(Raw_Data!I221)),0)</f>
        <v>3</v>
      </c>
      <c r="J221" s="13">
        <f>IFERROR(VALUE(Raw_Data!J221),0)</f>
        <v>6877</v>
      </c>
      <c r="K221" s="14">
        <f>IFERROR(VALUE(Raw_Data!K221),0)</f>
        <v>0</v>
      </c>
      <c r="L221" t="str">
        <f>PROPER(TRIM(Raw_Data!L221))</f>
        <v>Returned</v>
      </c>
      <c r="M221" s="13">
        <f t="shared" si="24"/>
        <v>20631</v>
      </c>
      <c r="N221" s="13">
        <f t="shared" si="25"/>
        <v>0</v>
      </c>
      <c r="O221" s="13">
        <f t="shared" si="26"/>
        <v>20631</v>
      </c>
      <c r="P221" s="13">
        <f t="shared" si="27"/>
        <v>12378.6</v>
      </c>
      <c r="Q221" s="13">
        <f t="shared" si="28"/>
        <v>8252.4</v>
      </c>
      <c r="R221" s="10">
        <f t="shared" si="29"/>
        <v>0.4</v>
      </c>
      <c r="S221" t="str">
        <f t="shared" si="30"/>
        <v>Feb-2026</v>
      </c>
      <c r="T221" t="str">
        <f t="shared" si="31"/>
        <v>OK</v>
      </c>
    </row>
    <row r="222" spans="1:20">
      <c r="A222" t="str">
        <f>TRIM(Raw_Data!A222)</f>
        <v>ORD-10221</v>
      </c>
      <c r="B222" s="12">
        <f>IFERROR(IF(ISNUMBER(Raw_Data!B222),Raw_Data!B222,DATEVALUE(Raw_Data!B222)),"")</f>
        <v>46231</v>
      </c>
      <c r="C222" t="str">
        <f>PROPER(TRIM(Raw_Data!C222))</f>
        <v>Kiran</v>
      </c>
      <c r="D222" t="str">
        <f>IF(TRIM(Raw_Data!D222)="Bangalore","Bengaluru",IF(TRIM(Raw_Data!D222)="Mysore","Mysuru",IF(TRIM(Raw_Data!D222)="Cochin","Kochi",PROPER(TRIM(Raw_Data!D222)))))</f>
        <v>Mysuru</v>
      </c>
      <c r="E222" t="str">
        <f>PROPER(TRIM(Raw_Data!E222))</f>
        <v>Retail Store</v>
      </c>
      <c r="F222" t="str">
        <f>PROPER(TRIM(Raw_Data!F222))</f>
        <v>Smb</v>
      </c>
      <c r="G222" t="str">
        <f>PROPER(TRIM(Raw_Data!G222))</f>
        <v>Keyboard</v>
      </c>
      <c r="H222" t="str">
        <f>PROPER(TRIM(Raw_Data!H222))</f>
        <v>Keyboard Wireless</v>
      </c>
      <c r="I222">
        <f>IFERROR(MAX(0,VALUE(Raw_Data!I222)),0)</f>
        <v>3</v>
      </c>
      <c r="J222" s="13">
        <f>IFERROR(VALUE(Raw_Data!J222),0)</f>
        <v>2843</v>
      </c>
      <c r="K222" s="14">
        <f>IFERROR(VALUE(Raw_Data!K222),0)</f>
        <v>0.15</v>
      </c>
      <c r="L222" t="str">
        <f>PROPER(TRIM(Raw_Data!L222))</f>
        <v>Pending</v>
      </c>
      <c r="M222" s="13">
        <f t="shared" si="24"/>
        <v>8529</v>
      </c>
      <c r="N222" s="13">
        <f t="shared" si="25"/>
        <v>1279.35</v>
      </c>
      <c r="O222" s="13">
        <f t="shared" si="26"/>
        <v>7249.65</v>
      </c>
      <c r="P222" s="13">
        <f t="shared" si="27"/>
        <v>4946.82</v>
      </c>
      <c r="Q222" s="13">
        <f t="shared" si="28"/>
        <v>2302.83</v>
      </c>
      <c r="R222" s="10">
        <f t="shared" si="29"/>
        <v>0.317647058823529</v>
      </c>
      <c r="S222" t="str">
        <f t="shared" si="30"/>
        <v>Jul-2026</v>
      </c>
      <c r="T222" t="str">
        <f t="shared" si="31"/>
        <v>OK</v>
      </c>
    </row>
    <row r="223" spans="1:20">
      <c r="A223" t="str">
        <f>TRIM(Raw_Data!A223)</f>
        <v>ORD-10222</v>
      </c>
      <c r="B223" s="12">
        <f>IFERROR(IF(ISNUMBER(Raw_Data!B223),Raw_Data!B223,DATEVALUE(Raw_Data!B223)),"")</f>
        <v>46193</v>
      </c>
      <c r="C223" t="str">
        <f>PROPER(TRIM(Raw_Data!C223))</f>
        <v>Ravi</v>
      </c>
      <c r="D223" t="str">
        <f>IF(TRIM(Raw_Data!D223)="Bangalore","Bengaluru",IF(TRIM(Raw_Data!D223)="Mysore","Mysuru",IF(TRIM(Raw_Data!D223)="Cochin","Kochi",PROPER(TRIM(Raw_Data!D223)))))</f>
        <v>Hyderabad</v>
      </c>
      <c r="E223" t="str">
        <f>PROPER(TRIM(Raw_Data!E223))</f>
        <v>Corporate</v>
      </c>
      <c r="F223" t="str">
        <f>PROPER(TRIM(Raw_Data!F223))</f>
        <v>Enterprise</v>
      </c>
      <c r="G223" t="str">
        <f>PROPER(TRIM(Raw_Data!G223))</f>
        <v>Mouse</v>
      </c>
      <c r="H223" t="str">
        <f>PROPER(TRIM(Raw_Data!H223))</f>
        <v>Mouse Ergonomic</v>
      </c>
      <c r="I223">
        <f>IFERROR(MAX(0,VALUE(Raw_Data!I223)),0)</f>
        <v>8</v>
      </c>
      <c r="J223" s="13">
        <f>IFERROR(VALUE(Raw_Data!J223),0)</f>
        <v>2811</v>
      </c>
      <c r="K223" s="14">
        <f>IFERROR(VALUE(Raw_Data!K223),0)</f>
        <v>0.08</v>
      </c>
      <c r="L223" t="str">
        <f>PROPER(TRIM(Raw_Data!L223))</f>
        <v>Pending</v>
      </c>
      <c r="M223" s="13">
        <f t="shared" si="24"/>
        <v>22488</v>
      </c>
      <c r="N223" s="13">
        <f t="shared" si="25"/>
        <v>1799.04</v>
      </c>
      <c r="O223" s="13">
        <f t="shared" si="26"/>
        <v>20688.96</v>
      </c>
      <c r="P223" s="13">
        <f t="shared" si="27"/>
        <v>12368.4</v>
      </c>
      <c r="Q223" s="13">
        <f t="shared" si="28"/>
        <v>8320.56</v>
      </c>
      <c r="R223" s="10">
        <f t="shared" si="29"/>
        <v>0.402173913043478</v>
      </c>
      <c r="S223" t="str">
        <f t="shared" si="30"/>
        <v>Jun-2026</v>
      </c>
      <c r="T223" t="str">
        <f t="shared" si="31"/>
        <v>OK</v>
      </c>
    </row>
    <row r="224" spans="1:20">
      <c r="A224" t="str">
        <f>TRIM(Raw_Data!A224)</f>
        <v>ORD-10223</v>
      </c>
      <c r="B224" s="12">
        <f>IFERROR(IF(ISNUMBER(Raw_Data!B224),Raw_Data!B224,DATEVALUE(Raw_Data!B224)),"")</f>
        <v>46110</v>
      </c>
      <c r="C224" t="str">
        <f>PROPER(TRIM(Raw_Data!C224))</f>
        <v>Ravi</v>
      </c>
      <c r="D224" t="str">
        <f>IF(TRIM(Raw_Data!D224)="Bangalore","Bengaluru",IF(TRIM(Raw_Data!D224)="Mysore","Mysuru",IF(TRIM(Raw_Data!D224)="Cochin","Kochi",PROPER(TRIM(Raw_Data!D224)))))</f>
        <v>Mumbai</v>
      </c>
      <c r="E224" t="str">
        <f>PROPER(TRIM(Raw_Data!E224))</f>
        <v>Online</v>
      </c>
      <c r="F224" t="str">
        <f>PROPER(TRIM(Raw_Data!F224))</f>
        <v>Enterprise</v>
      </c>
      <c r="G224" t="str">
        <f>PROPER(TRIM(Raw_Data!G224))</f>
        <v>Laptop</v>
      </c>
      <c r="H224" t="str">
        <f>PROPER(TRIM(Raw_Data!H224))</f>
        <v>Laptop Air 13</v>
      </c>
      <c r="I224">
        <f>IFERROR(MAX(0,VALUE(Raw_Data!I224)),0)</f>
        <v>4</v>
      </c>
      <c r="J224" s="13">
        <f>IFERROR(VALUE(Raw_Data!J224),0)</f>
        <v>58311</v>
      </c>
      <c r="K224" s="14">
        <f>IFERROR(VALUE(Raw_Data!K224),0)</f>
        <v>0.05</v>
      </c>
      <c r="L224" t="str">
        <f>PROPER(TRIM(Raw_Data!L224))</f>
        <v>Returned</v>
      </c>
      <c r="M224" s="13">
        <f t="shared" si="24"/>
        <v>233244</v>
      </c>
      <c r="N224" s="13">
        <f t="shared" si="25"/>
        <v>11662.2</v>
      </c>
      <c r="O224" s="13">
        <f t="shared" si="26"/>
        <v>221581.8</v>
      </c>
      <c r="P224" s="13">
        <f t="shared" si="27"/>
        <v>181930.32</v>
      </c>
      <c r="Q224" s="13">
        <f t="shared" si="28"/>
        <v>39651.48</v>
      </c>
      <c r="R224" s="10">
        <f t="shared" si="29"/>
        <v>0.178947368421053</v>
      </c>
      <c r="S224" t="str">
        <f t="shared" si="30"/>
        <v>Mar-2026</v>
      </c>
      <c r="T224" t="str">
        <f t="shared" si="31"/>
        <v>OK</v>
      </c>
    </row>
    <row r="225" spans="1:20">
      <c r="A225" t="str">
        <f>TRIM(Raw_Data!A225)</f>
        <v>ORD-10224</v>
      </c>
      <c r="B225" s="12">
        <f>IFERROR(IF(ISNUMBER(Raw_Data!B225),Raw_Data!B225,DATEVALUE(Raw_Data!B225)),"")</f>
        <v>46150</v>
      </c>
      <c r="C225" t="str">
        <f>PROPER(TRIM(Raw_Data!C225))</f>
        <v>Neha</v>
      </c>
      <c r="D225" t="str">
        <f>IF(TRIM(Raw_Data!D225)="Bangalore","Bengaluru",IF(TRIM(Raw_Data!D225)="Mysore","Mysuru",IF(TRIM(Raw_Data!D225)="Cochin","Kochi",PROPER(TRIM(Raw_Data!D225)))))</f>
        <v>Bengaluru</v>
      </c>
      <c r="E225" t="str">
        <f>PROPER(TRIM(Raw_Data!E225))</f>
        <v>Corporate</v>
      </c>
      <c r="F225" t="str">
        <f>PROPER(TRIM(Raw_Data!F225))</f>
        <v>Consumer</v>
      </c>
      <c r="G225" t="str">
        <f>PROPER(TRIM(Raw_Data!G225))</f>
        <v>Headset</v>
      </c>
      <c r="H225" t="str">
        <f>PROPER(TRIM(Raw_Data!H225))</f>
        <v>Headset Wireless</v>
      </c>
      <c r="I225">
        <f>IFERROR(MAX(0,VALUE(Raw_Data!I225)),0)</f>
        <v>1</v>
      </c>
      <c r="J225" s="13">
        <f>IFERROR(VALUE(Raw_Data!J225),0)</f>
        <v>7406</v>
      </c>
      <c r="K225" s="14">
        <f>IFERROR(VALUE(Raw_Data!K225),0)</f>
        <v>0.08</v>
      </c>
      <c r="L225" t="str">
        <f>PROPER(TRIM(Raw_Data!L225))</f>
        <v>Delivered</v>
      </c>
      <c r="M225" s="13">
        <f t="shared" si="24"/>
        <v>7406</v>
      </c>
      <c r="N225" s="13">
        <f t="shared" si="25"/>
        <v>592.48</v>
      </c>
      <c r="O225" s="13">
        <f t="shared" si="26"/>
        <v>6813.52</v>
      </c>
      <c r="P225" s="13">
        <f t="shared" si="27"/>
        <v>4443.6</v>
      </c>
      <c r="Q225" s="13">
        <f t="shared" si="28"/>
        <v>2369.92</v>
      </c>
      <c r="R225" s="10">
        <f t="shared" si="29"/>
        <v>0.347826086956522</v>
      </c>
      <c r="S225" t="str">
        <f t="shared" si="30"/>
        <v>May-2026</v>
      </c>
      <c r="T225" t="str">
        <f t="shared" si="31"/>
        <v>OK</v>
      </c>
    </row>
    <row r="226" spans="1:20">
      <c r="A226" t="str">
        <f>TRIM(Raw_Data!A226)</f>
        <v>ORD-10225</v>
      </c>
      <c r="B226" s="12">
        <f>IFERROR(IF(ISNUMBER(Raw_Data!B226),Raw_Data!B226,DATEVALUE(Raw_Data!B226)),"")</f>
        <v>46056</v>
      </c>
      <c r="C226" t="str">
        <f>PROPER(TRIM(Raw_Data!C226))</f>
        <v>Meghana</v>
      </c>
      <c r="D226" t="str">
        <f>IF(TRIM(Raw_Data!D226)="Bangalore","Bengaluru",IF(TRIM(Raw_Data!D226)="Mysore","Mysuru",IF(TRIM(Raw_Data!D226)="Cochin","Kochi",PROPER(TRIM(Raw_Data!D226)))))</f>
        <v>Bengaluru</v>
      </c>
      <c r="E226" t="str">
        <f>PROPER(TRIM(Raw_Data!E226))</f>
        <v>Retail Store</v>
      </c>
      <c r="F226" t="str">
        <f>PROPER(TRIM(Raw_Data!F226))</f>
        <v>Consumer</v>
      </c>
      <c r="G226" t="str">
        <f>PROPER(TRIM(Raw_Data!G226))</f>
        <v>Laptop</v>
      </c>
      <c r="H226" t="str">
        <f>PROPER(TRIM(Raw_Data!H226))</f>
        <v>Laptop Pro 14</v>
      </c>
      <c r="I226">
        <f>IFERROR(MAX(0,VALUE(Raw_Data!I226)),0)</f>
        <v>2</v>
      </c>
      <c r="J226" s="13">
        <f>IFERROR(VALUE(Raw_Data!J226),0)</f>
        <v>65141</v>
      </c>
      <c r="K226" s="14">
        <f>IFERROR(VALUE(Raw_Data!K226),0)</f>
        <v>0</v>
      </c>
      <c r="L226" t="str">
        <f>PROPER(TRIM(Raw_Data!L226))</f>
        <v>Delivered</v>
      </c>
      <c r="M226" s="13">
        <f t="shared" si="24"/>
        <v>130282</v>
      </c>
      <c r="N226" s="13">
        <f t="shared" si="25"/>
        <v>0</v>
      </c>
      <c r="O226" s="13">
        <f t="shared" si="26"/>
        <v>130282</v>
      </c>
      <c r="P226" s="13">
        <f t="shared" si="27"/>
        <v>101619.96</v>
      </c>
      <c r="Q226" s="13">
        <f t="shared" si="28"/>
        <v>28662.04</v>
      </c>
      <c r="R226" s="10">
        <f t="shared" si="29"/>
        <v>0.22</v>
      </c>
      <c r="S226" t="str">
        <f t="shared" si="30"/>
        <v>Feb-2026</v>
      </c>
      <c r="T226" t="str">
        <f t="shared" si="31"/>
        <v>OK</v>
      </c>
    </row>
    <row r="227" spans="1:20">
      <c r="A227" t="str">
        <f>TRIM(Raw_Data!A227)</f>
        <v>ORD-10226</v>
      </c>
      <c r="B227" s="12" t="str">
        <f>IFERROR(IF(ISNUMBER(Raw_Data!B227),Raw_Data!B227,DATEVALUE(Raw_Data!B227)),"")</f>
        <v/>
      </c>
      <c r="C227" t="str">
        <f>PROPER(TRIM(Raw_Data!C227))</f>
        <v>Asha</v>
      </c>
      <c r="D227" t="str">
        <f>IF(TRIM(Raw_Data!D227)="Bangalore","Bengaluru",IF(TRIM(Raw_Data!D227)="Mysore","Mysuru",IF(TRIM(Raw_Data!D227)="Cochin","Kochi",PROPER(TRIM(Raw_Data!D227)))))</f>
        <v>Chennai</v>
      </c>
      <c r="E227" t="str">
        <f>PROPER(TRIM(Raw_Data!E227))</f>
        <v>Corporate</v>
      </c>
      <c r="F227" t="str">
        <f>PROPER(TRIM(Raw_Data!F227))</f>
        <v>Smb</v>
      </c>
      <c r="G227" t="str">
        <f>PROPER(TRIM(Raw_Data!G227))</f>
        <v>Keyboard</v>
      </c>
      <c r="H227" t="str">
        <f>PROPER(TRIM(Raw_Data!H227))</f>
        <v>Keyboard Wireless</v>
      </c>
      <c r="I227">
        <f>IFERROR(MAX(0,VALUE(Raw_Data!I227)),0)</f>
        <v>6</v>
      </c>
      <c r="J227" s="13">
        <f>IFERROR(VALUE(Raw_Data!J227),0)</f>
        <v>4600</v>
      </c>
      <c r="K227" s="14">
        <f>IFERROR(VALUE(Raw_Data!K227),0)</f>
        <v>0.1</v>
      </c>
      <c r="L227" t="str">
        <f>PROPER(TRIM(Raw_Data!L227))</f>
        <v>Delivered</v>
      </c>
      <c r="M227" s="13">
        <f t="shared" si="24"/>
        <v>27600</v>
      </c>
      <c r="N227" s="13">
        <f t="shared" si="25"/>
        <v>2760</v>
      </c>
      <c r="O227" s="13">
        <f t="shared" si="26"/>
        <v>24840</v>
      </c>
      <c r="P227" s="13">
        <f t="shared" si="27"/>
        <v>16008</v>
      </c>
      <c r="Q227" s="13">
        <f t="shared" si="28"/>
        <v>8832</v>
      </c>
      <c r="R227" s="10">
        <f t="shared" si="29"/>
        <v>0.355555555555556</v>
      </c>
      <c r="S227" t="str">
        <f t="shared" si="30"/>
        <v/>
      </c>
      <c r="T227" t="str">
        <f t="shared" si="31"/>
        <v>CHECK</v>
      </c>
    </row>
    <row r="228" spans="1:20">
      <c r="A228" t="str">
        <f>TRIM(Raw_Data!A228)</f>
        <v>ORD-10227</v>
      </c>
      <c r="B228" s="12" t="str">
        <f>IFERROR(IF(ISNUMBER(Raw_Data!B228),Raw_Data!B228,DATEVALUE(Raw_Data!B228)),"")</f>
        <v/>
      </c>
      <c r="C228" t="str">
        <f>PROPER(TRIM(Raw_Data!C228))</f>
        <v>Asha</v>
      </c>
      <c r="D228" t="str">
        <f>IF(TRIM(Raw_Data!D228)="Bangalore","Bengaluru",IF(TRIM(Raw_Data!D228)="Mysore","Mysuru",IF(TRIM(Raw_Data!D228)="Cochin","Kochi",PROPER(TRIM(Raw_Data!D228)))))</f>
        <v>Hyderabad</v>
      </c>
      <c r="E228" t="str">
        <f>PROPER(TRIM(Raw_Data!E228))</f>
        <v>Corporate</v>
      </c>
      <c r="F228" t="str">
        <f>PROPER(TRIM(Raw_Data!F228))</f>
        <v>Consumer</v>
      </c>
      <c r="G228" t="str">
        <f>PROPER(TRIM(Raw_Data!G228))</f>
        <v>Mouse</v>
      </c>
      <c r="H228" t="str">
        <f>PROPER(TRIM(Raw_Data!H228))</f>
        <v>Mouse Basic</v>
      </c>
      <c r="I228">
        <f>IFERROR(MAX(0,VALUE(Raw_Data!I228)),0)</f>
        <v>7</v>
      </c>
      <c r="J228" s="13">
        <f>IFERROR(VALUE(Raw_Data!J228),0)</f>
        <v>2842</v>
      </c>
      <c r="K228" s="14">
        <f>IFERROR(VALUE(Raw_Data!K228),0)</f>
        <v>0.02</v>
      </c>
      <c r="L228" t="str">
        <f>PROPER(TRIM(Raw_Data!L228))</f>
        <v>Delivered</v>
      </c>
      <c r="M228" s="13">
        <f t="shared" si="24"/>
        <v>19894</v>
      </c>
      <c r="N228" s="13">
        <f t="shared" si="25"/>
        <v>397.88</v>
      </c>
      <c r="O228" s="13">
        <f t="shared" si="26"/>
        <v>19496.12</v>
      </c>
      <c r="P228" s="13">
        <f t="shared" si="27"/>
        <v>10941.7</v>
      </c>
      <c r="Q228" s="13">
        <f t="shared" si="28"/>
        <v>8554.42</v>
      </c>
      <c r="R228" s="10">
        <f t="shared" si="29"/>
        <v>0.438775510204082</v>
      </c>
      <c r="S228" t="str">
        <f t="shared" si="30"/>
        <v/>
      </c>
      <c r="T228" t="str">
        <f t="shared" si="31"/>
        <v>CHECK</v>
      </c>
    </row>
    <row r="229" spans="1:20">
      <c r="A229" t="str">
        <f>TRIM(Raw_Data!A229)</f>
        <v>ORD-10228</v>
      </c>
      <c r="B229" s="12">
        <f>IFERROR(IF(ISNUMBER(Raw_Data!B229),Raw_Data!B229,DATEVALUE(Raw_Data!B229)),"")</f>
        <v>46217</v>
      </c>
      <c r="C229" t="str">
        <f>PROPER(TRIM(Raw_Data!C229))</f>
        <v>Neha</v>
      </c>
      <c r="D229" t="str">
        <f>IF(TRIM(Raw_Data!D229)="Bangalore","Bengaluru",IF(TRIM(Raw_Data!D229)="Mysore","Mysuru",IF(TRIM(Raw_Data!D229)="Cochin","Kochi",PROPER(TRIM(Raw_Data!D229)))))</f>
        <v>Pune</v>
      </c>
      <c r="E229" t="str">
        <f>PROPER(TRIM(Raw_Data!E229))</f>
        <v>Online</v>
      </c>
      <c r="F229" t="str">
        <f>PROPER(TRIM(Raw_Data!F229))</f>
        <v>Enterprise</v>
      </c>
      <c r="G229" t="str">
        <f>PROPER(TRIM(Raw_Data!G229))</f>
        <v>Headset</v>
      </c>
      <c r="H229" t="str">
        <f>PROPER(TRIM(Raw_Data!H229))</f>
        <v>Headset Office</v>
      </c>
      <c r="I229">
        <f>IFERROR(MAX(0,VALUE(Raw_Data!I229)),0)</f>
        <v>2</v>
      </c>
      <c r="J229" s="13">
        <f>IFERROR(VALUE(Raw_Data!J229),0)</f>
        <v>3086</v>
      </c>
      <c r="K229" s="14">
        <f>IFERROR(VALUE(Raw_Data!K229),0)</f>
        <v>0.02</v>
      </c>
      <c r="L229" t="str">
        <f>PROPER(TRIM(Raw_Data!L229))</f>
        <v>Returned</v>
      </c>
      <c r="M229" s="13">
        <f t="shared" si="24"/>
        <v>6172</v>
      </c>
      <c r="N229" s="13">
        <f t="shared" si="25"/>
        <v>123.44</v>
      </c>
      <c r="O229" s="13">
        <f t="shared" si="26"/>
        <v>6048.56</v>
      </c>
      <c r="P229" s="13">
        <f t="shared" si="27"/>
        <v>3703.2</v>
      </c>
      <c r="Q229" s="13">
        <f t="shared" si="28"/>
        <v>2345.36</v>
      </c>
      <c r="R229" s="10">
        <f t="shared" si="29"/>
        <v>0.387755102040816</v>
      </c>
      <c r="S229" t="str">
        <f t="shared" si="30"/>
        <v>Jul-2026</v>
      </c>
      <c r="T229" t="str">
        <f t="shared" si="31"/>
        <v>OK</v>
      </c>
    </row>
    <row r="230" spans="1:20">
      <c r="A230" t="str">
        <f>TRIM(Raw_Data!A230)</f>
        <v>ORD-10229</v>
      </c>
      <c r="B230" s="12">
        <f>IFERROR(IF(ISNUMBER(Raw_Data!B230),Raw_Data!B230,DATEVALUE(Raw_Data!B230)),"")</f>
        <v>46063</v>
      </c>
      <c r="C230" t="str">
        <f>PROPER(TRIM(Raw_Data!C230))</f>
        <v>Arjun</v>
      </c>
      <c r="D230" t="str">
        <f>IF(TRIM(Raw_Data!D230)="Bangalore","Bengaluru",IF(TRIM(Raw_Data!D230)="Mysore","Mysuru",IF(TRIM(Raw_Data!D230)="Cochin","Kochi",PROPER(TRIM(Raw_Data!D230)))))</f>
        <v>Chennai</v>
      </c>
      <c r="E230" t="str">
        <f>PROPER(TRIM(Raw_Data!E230))</f>
        <v>Online</v>
      </c>
      <c r="F230" t="str">
        <f>PROPER(TRIM(Raw_Data!F230))</f>
        <v>Consumer</v>
      </c>
      <c r="G230" t="str">
        <f>PROPER(TRIM(Raw_Data!G230))</f>
        <v>Laptop</v>
      </c>
      <c r="H230" t="str">
        <f>PROPER(TRIM(Raw_Data!H230))</f>
        <v>Laptop Air 13</v>
      </c>
      <c r="I230">
        <f>IFERROR(MAX(0,VALUE(Raw_Data!I230)),0)</f>
        <v>6</v>
      </c>
      <c r="J230" s="13">
        <f>IFERROR(VALUE(Raw_Data!J230),0)</f>
        <v>49643</v>
      </c>
      <c r="K230" s="14">
        <f>IFERROR(VALUE(Raw_Data!K230),0)</f>
        <v>0.08</v>
      </c>
      <c r="L230" t="str">
        <f>PROPER(TRIM(Raw_Data!L230))</f>
        <v>Delivered</v>
      </c>
      <c r="M230" s="13">
        <f t="shared" si="24"/>
        <v>297858</v>
      </c>
      <c r="N230" s="13">
        <f t="shared" si="25"/>
        <v>23828.64</v>
      </c>
      <c r="O230" s="13">
        <f t="shared" si="26"/>
        <v>274029.36</v>
      </c>
      <c r="P230" s="13">
        <f t="shared" si="27"/>
        <v>232329.24</v>
      </c>
      <c r="Q230" s="13">
        <f t="shared" si="28"/>
        <v>41700.12</v>
      </c>
      <c r="R230" s="10">
        <f t="shared" si="29"/>
        <v>0.152173913043478</v>
      </c>
      <c r="S230" t="str">
        <f t="shared" si="30"/>
        <v>Feb-2026</v>
      </c>
      <c r="T230" t="str">
        <f t="shared" si="31"/>
        <v>OK</v>
      </c>
    </row>
    <row r="231" spans="1:20">
      <c r="A231" t="str">
        <f>TRIM(Raw_Data!A231)</f>
        <v>ORD-10230</v>
      </c>
      <c r="B231" s="12">
        <f>IFERROR(IF(ISNUMBER(Raw_Data!B231),Raw_Data!B231,DATEVALUE(Raw_Data!B231)),"")</f>
        <v>46139</v>
      </c>
      <c r="C231" t="str">
        <f>PROPER(TRIM(Raw_Data!C231))</f>
        <v>Asha</v>
      </c>
      <c r="D231" t="str">
        <f>IF(TRIM(Raw_Data!D231)="Bangalore","Bengaluru",IF(TRIM(Raw_Data!D231)="Mysore","Mysuru",IF(TRIM(Raw_Data!D231)="Cochin","Kochi",PROPER(TRIM(Raw_Data!D231)))))</f>
        <v>Delhi</v>
      </c>
      <c r="E231" t="str">
        <f>PROPER(TRIM(Raw_Data!E231))</f>
        <v>Retail Store</v>
      </c>
      <c r="F231" t="str">
        <f>PROPER(TRIM(Raw_Data!F231))</f>
        <v>Smb</v>
      </c>
      <c r="G231" t="str">
        <f>PROPER(TRIM(Raw_Data!G231))</f>
        <v>Monitor</v>
      </c>
      <c r="H231" t="str">
        <f>PROPER(TRIM(Raw_Data!H231))</f>
        <v>Monitor 27</v>
      </c>
      <c r="I231">
        <f>IFERROR(MAX(0,VALUE(Raw_Data!I231)),0)</f>
        <v>5</v>
      </c>
      <c r="J231" s="13">
        <f>IFERROR(VALUE(Raw_Data!J231),0)</f>
        <v>23999</v>
      </c>
      <c r="K231" s="14">
        <f>IFERROR(VALUE(Raw_Data!K231),0)</f>
        <v>0.02</v>
      </c>
      <c r="L231" t="str">
        <f>PROPER(TRIM(Raw_Data!L231))</f>
        <v>Delivered</v>
      </c>
      <c r="M231" s="13">
        <f t="shared" si="24"/>
        <v>119995</v>
      </c>
      <c r="N231" s="13">
        <f t="shared" si="25"/>
        <v>2399.9</v>
      </c>
      <c r="O231" s="13">
        <f t="shared" si="26"/>
        <v>117595.1</v>
      </c>
      <c r="P231" s="13">
        <f t="shared" si="27"/>
        <v>83996.5</v>
      </c>
      <c r="Q231" s="13">
        <f t="shared" si="28"/>
        <v>33598.6</v>
      </c>
      <c r="R231" s="10">
        <f t="shared" si="29"/>
        <v>0.285714285714286</v>
      </c>
      <c r="S231" t="str">
        <f t="shared" si="30"/>
        <v>Apr-2026</v>
      </c>
      <c r="T231" t="str">
        <f t="shared" si="31"/>
        <v>OK</v>
      </c>
    </row>
    <row r="232" spans="1:20">
      <c r="A232" t="str">
        <f>TRIM(Raw_Data!A232)</f>
        <v>ORD-10231</v>
      </c>
      <c r="B232" s="12">
        <f>IFERROR(IF(ISNUMBER(Raw_Data!B232),Raw_Data!B232,DATEVALUE(Raw_Data!B232)),"")</f>
        <v>46241</v>
      </c>
      <c r="C232" t="str">
        <f>PROPER(TRIM(Raw_Data!C232))</f>
        <v>Meghana</v>
      </c>
      <c r="D232" t="str">
        <f>IF(TRIM(Raw_Data!D232)="Bangalore","Bengaluru",IF(TRIM(Raw_Data!D232)="Mysore","Mysuru",IF(TRIM(Raw_Data!D232)="Cochin","Kochi",PROPER(TRIM(Raw_Data!D232)))))</f>
        <v>Kochi</v>
      </c>
      <c r="E232" t="str">
        <f>PROPER(TRIM(Raw_Data!E232))</f>
        <v>Online</v>
      </c>
      <c r="F232" t="str">
        <f>PROPER(TRIM(Raw_Data!F232))</f>
        <v>Consumer</v>
      </c>
      <c r="G232" t="str">
        <f>PROPER(TRIM(Raw_Data!G232))</f>
        <v>Monitor</v>
      </c>
      <c r="H232" t="str">
        <f>PROPER(TRIM(Raw_Data!H232))</f>
        <v>Monitor 24</v>
      </c>
      <c r="I232">
        <f>IFERROR(MAX(0,VALUE(Raw_Data!I232)),0)</f>
        <v>8</v>
      </c>
      <c r="J232" s="13">
        <f>IFERROR(VALUE(Raw_Data!J232),0)</f>
        <v>25030</v>
      </c>
      <c r="K232" s="14">
        <f>IFERROR(VALUE(Raw_Data!K232),0)</f>
        <v>0.05</v>
      </c>
      <c r="L232" t="str">
        <f>PROPER(TRIM(Raw_Data!L232))</f>
        <v>Delivered</v>
      </c>
      <c r="M232" s="13">
        <f t="shared" si="24"/>
        <v>200240</v>
      </c>
      <c r="N232" s="13">
        <f t="shared" si="25"/>
        <v>10012</v>
      </c>
      <c r="O232" s="13">
        <f t="shared" si="26"/>
        <v>190228</v>
      </c>
      <c r="P232" s="13">
        <f t="shared" si="27"/>
        <v>140168</v>
      </c>
      <c r="Q232" s="13">
        <f t="shared" si="28"/>
        <v>50060</v>
      </c>
      <c r="R232" s="10">
        <f t="shared" si="29"/>
        <v>0.263157894736842</v>
      </c>
      <c r="S232" t="str">
        <f t="shared" si="30"/>
        <v>Aug-2026</v>
      </c>
      <c r="T232" t="str">
        <f t="shared" si="31"/>
        <v>OK</v>
      </c>
    </row>
    <row r="233" spans="1:20">
      <c r="A233" t="str">
        <f>TRIM(Raw_Data!A233)</f>
        <v>ORD-10232</v>
      </c>
      <c r="B233" s="12">
        <f>IFERROR(IF(ISNUMBER(Raw_Data!B233),Raw_Data!B233,DATEVALUE(Raw_Data!B233)),"")</f>
        <v>46230</v>
      </c>
      <c r="C233" t="str">
        <f>PROPER(TRIM(Raw_Data!C233))</f>
        <v>Ravi</v>
      </c>
      <c r="D233" t="str">
        <f>IF(TRIM(Raw_Data!D233)="Bangalore","Bengaluru",IF(TRIM(Raw_Data!D233)="Mysore","Mysuru",IF(TRIM(Raw_Data!D233)="Cochin","Kochi",PROPER(TRIM(Raw_Data!D233)))))</f>
        <v>Mysuru</v>
      </c>
      <c r="E233" t="str">
        <f>PROPER(TRIM(Raw_Data!E233))</f>
        <v>Online</v>
      </c>
      <c r="F233" t="str">
        <f>PROPER(TRIM(Raw_Data!F233))</f>
        <v>Consumer</v>
      </c>
      <c r="G233" t="str">
        <f>PROPER(TRIM(Raw_Data!G233))</f>
        <v>Laptop</v>
      </c>
      <c r="H233" t="str">
        <f>PROPER(TRIM(Raw_Data!H233))</f>
        <v>Laptop Air 13</v>
      </c>
      <c r="I233">
        <f>IFERROR(MAX(0,VALUE(Raw_Data!I233)),0)</f>
        <v>3</v>
      </c>
      <c r="J233" s="13">
        <f>IFERROR(VALUE(Raw_Data!J233),0)</f>
        <v>60762</v>
      </c>
      <c r="K233" s="14">
        <f>IFERROR(VALUE(Raw_Data!K233),0)</f>
        <v>0.05</v>
      </c>
      <c r="L233" t="str">
        <f>PROPER(TRIM(Raw_Data!L233))</f>
        <v>Delivered</v>
      </c>
      <c r="M233" s="13">
        <f t="shared" si="24"/>
        <v>182286</v>
      </c>
      <c r="N233" s="13">
        <f t="shared" si="25"/>
        <v>9114.3</v>
      </c>
      <c r="O233" s="13">
        <f t="shared" si="26"/>
        <v>173171.7</v>
      </c>
      <c r="P233" s="13">
        <f t="shared" si="27"/>
        <v>142183.08</v>
      </c>
      <c r="Q233" s="13">
        <f t="shared" si="28"/>
        <v>30988.62</v>
      </c>
      <c r="R233" s="10">
        <f t="shared" si="29"/>
        <v>0.178947368421053</v>
      </c>
      <c r="S233" t="str">
        <f t="shared" si="30"/>
        <v>Jul-2026</v>
      </c>
      <c r="T233" t="str">
        <f t="shared" si="31"/>
        <v>OK</v>
      </c>
    </row>
    <row r="234" spans="1:20">
      <c r="A234" t="str">
        <f>TRIM(Raw_Data!A234)</f>
        <v>ORD-10233</v>
      </c>
      <c r="B234" s="12">
        <f>IFERROR(IF(ISNUMBER(Raw_Data!B234),Raw_Data!B234,DATEVALUE(Raw_Data!B234)),"")</f>
        <v>46203</v>
      </c>
      <c r="C234" t="str">
        <f>PROPER(TRIM(Raw_Data!C234))</f>
        <v>Meghana</v>
      </c>
      <c r="D234" t="str">
        <f>IF(TRIM(Raw_Data!D234)="Bangalore","Bengaluru",IF(TRIM(Raw_Data!D234)="Mysore","Mysuru",IF(TRIM(Raw_Data!D234)="Cochin","Kochi",PROPER(TRIM(Raw_Data!D234)))))</f>
        <v>Chennai</v>
      </c>
      <c r="E234" t="str">
        <f>PROPER(TRIM(Raw_Data!E234))</f>
        <v>Retail Store</v>
      </c>
      <c r="F234" t="str">
        <f>PROPER(TRIM(Raw_Data!F234))</f>
        <v>Smb</v>
      </c>
      <c r="G234" t="str">
        <f>PROPER(TRIM(Raw_Data!G234))</f>
        <v>Laptop</v>
      </c>
      <c r="H234" t="str">
        <f>PROPER(TRIM(Raw_Data!H234))</f>
        <v>Business Laptop 15</v>
      </c>
      <c r="I234">
        <f>IFERROR(MAX(0,VALUE(Raw_Data!I234)),0)</f>
        <v>5</v>
      </c>
      <c r="J234" s="13">
        <f>IFERROR(VALUE(Raw_Data!J234),0)</f>
        <v>70223</v>
      </c>
      <c r="K234" s="14">
        <f>IFERROR(VALUE(Raw_Data!K234),0)</f>
        <v>0.15</v>
      </c>
      <c r="L234" t="str">
        <f>PROPER(TRIM(Raw_Data!L234))</f>
        <v>Cancelled</v>
      </c>
      <c r="M234" s="13">
        <f t="shared" si="24"/>
        <v>351115</v>
      </c>
      <c r="N234" s="13">
        <f t="shared" si="25"/>
        <v>52667.25</v>
      </c>
      <c r="O234" s="13">
        <f t="shared" si="26"/>
        <v>298447.75</v>
      </c>
      <c r="P234" s="13">
        <f t="shared" si="27"/>
        <v>273869.7</v>
      </c>
      <c r="Q234" s="13">
        <f t="shared" si="28"/>
        <v>24578.05</v>
      </c>
      <c r="R234" s="10">
        <f t="shared" si="29"/>
        <v>0.0823529411764705</v>
      </c>
      <c r="S234" t="str">
        <f t="shared" si="30"/>
        <v>Jun-2026</v>
      </c>
      <c r="T234" t="str">
        <f t="shared" si="31"/>
        <v>OK</v>
      </c>
    </row>
    <row r="235" spans="1:20">
      <c r="A235" t="str">
        <f>TRIM(Raw_Data!A235)</f>
        <v>ORD-10234</v>
      </c>
      <c r="B235" s="12">
        <f>IFERROR(IF(ISNUMBER(Raw_Data!B235),Raw_Data!B235,DATEVALUE(Raw_Data!B235)),"")</f>
        <v>46040</v>
      </c>
      <c r="C235" t="str">
        <f>PROPER(TRIM(Raw_Data!C235))</f>
        <v>Meghana</v>
      </c>
      <c r="D235" t="str">
        <f>IF(TRIM(Raw_Data!D235)="Bangalore","Bengaluru",IF(TRIM(Raw_Data!D235)="Mysore","Mysuru",IF(TRIM(Raw_Data!D235)="Cochin","Kochi",PROPER(TRIM(Raw_Data!D235)))))</f>
        <v>Pune</v>
      </c>
      <c r="E235" t="str">
        <f>PROPER(TRIM(Raw_Data!E235))</f>
        <v>Retail Store</v>
      </c>
      <c r="F235" t="str">
        <f>PROPER(TRIM(Raw_Data!F235))</f>
        <v>Enterprise</v>
      </c>
      <c r="G235" t="str">
        <f>PROPER(TRIM(Raw_Data!G235))</f>
        <v>Headset</v>
      </c>
      <c r="H235" t="str">
        <f>PROPER(TRIM(Raw_Data!H235))</f>
        <v>Headset Office</v>
      </c>
      <c r="I235">
        <f>IFERROR(MAX(0,VALUE(Raw_Data!I235)),0)</f>
        <v>8</v>
      </c>
      <c r="J235" s="13">
        <f>IFERROR(VALUE(Raw_Data!J235),0)</f>
        <v>2430</v>
      </c>
      <c r="K235" s="14">
        <f>IFERROR(VALUE(Raw_Data!K235),0)</f>
        <v>0.15</v>
      </c>
      <c r="L235" t="str">
        <f>PROPER(TRIM(Raw_Data!L235))</f>
        <v>Cancelled</v>
      </c>
      <c r="M235" s="13">
        <f t="shared" si="24"/>
        <v>19440</v>
      </c>
      <c r="N235" s="13">
        <f t="shared" si="25"/>
        <v>2916</v>
      </c>
      <c r="O235" s="13">
        <f t="shared" si="26"/>
        <v>16524</v>
      </c>
      <c r="P235" s="13">
        <f t="shared" si="27"/>
        <v>11664</v>
      </c>
      <c r="Q235" s="13">
        <f t="shared" si="28"/>
        <v>4860</v>
      </c>
      <c r="R235" s="10">
        <f t="shared" si="29"/>
        <v>0.294117647058824</v>
      </c>
      <c r="S235" t="str">
        <f t="shared" si="30"/>
        <v>Jan-2026</v>
      </c>
      <c r="T235" t="str">
        <f t="shared" si="31"/>
        <v>OK</v>
      </c>
    </row>
    <row r="236" spans="1:20">
      <c r="A236" t="str">
        <f>TRIM(Raw_Data!A236)</f>
        <v>ORD-10235</v>
      </c>
      <c r="B236" s="12">
        <f>IFERROR(IF(ISNUMBER(Raw_Data!B236),Raw_Data!B236,DATEVALUE(Raw_Data!B236)),"")</f>
        <v>46196</v>
      </c>
      <c r="C236" t="str">
        <f>PROPER(TRIM(Raw_Data!C236))</f>
        <v>Ravi</v>
      </c>
      <c r="D236" t="str">
        <f>IF(TRIM(Raw_Data!D236)="Bangalore","Bengaluru",IF(TRIM(Raw_Data!D236)="Mysore","Mysuru",IF(TRIM(Raw_Data!D236)="Cochin","Kochi",PROPER(TRIM(Raw_Data!D236)))))</f>
        <v>Mysuru</v>
      </c>
      <c r="E236" t="str">
        <f>PROPER(TRIM(Raw_Data!E236))</f>
        <v>Corporate</v>
      </c>
      <c r="F236" t="str">
        <f>PROPER(TRIM(Raw_Data!F236))</f>
        <v>Smb</v>
      </c>
      <c r="G236" t="str">
        <f>PROPER(TRIM(Raw_Data!G236))</f>
        <v>Headset</v>
      </c>
      <c r="H236" t="str">
        <f>PROPER(TRIM(Raw_Data!H236))</f>
        <v>Headset Wireless</v>
      </c>
      <c r="I236">
        <f>IFERROR(MAX(0,VALUE(Raw_Data!I236)),0)</f>
        <v>2</v>
      </c>
      <c r="J236" s="13">
        <f>IFERROR(VALUE(Raw_Data!J236),0)</f>
        <v>2215</v>
      </c>
      <c r="K236" s="14">
        <f>IFERROR(VALUE(Raw_Data!K236),0)</f>
        <v>0.08</v>
      </c>
      <c r="L236" t="str">
        <f>PROPER(TRIM(Raw_Data!L236))</f>
        <v>Delivered</v>
      </c>
      <c r="M236" s="13">
        <f t="shared" si="24"/>
        <v>4430</v>
      </c>
      <c r="N236" s="13">
        <f t="shared" si="25"/>
        <v>354.4</v>
      </c>
      <c r="O236" s="13">
        <f t="shared" si="26"/>
        <v>4075.6</v>
      </c>
      <c r="P236" s="13">
        <f t="shared" si="27"/>
        <v>2658</v>
      </c>
      <c r="Q236" s="13">
        <f t="shared" si="28"/>
        <v>1417.6</v>
      </c>
      <c r="R236" s="10">
        <f t="shared" si="29"/>
        <v>0.347826086956522</v>
      </c>
      <c r="S236" t="str">
        <f t="shared" si="30"/>
        <v>Jun-2026</v>
      </c>
      <c r="T236" t="str">
        <f t="shared" si="31"/>
        <v>OK</v>
      </c>
    </row>
    <row r="237" spans="1:20">
      <c r="A237" t="str">
        <f>TRIM(Raw_Data!A237)</f>
        <v>ORD-10236</v>
      </c>
      <c r="B237" s="12">
        <f>IFERROR(IF(ISNUMBER(Raw_Data!B237),Raw_Data!B237,DATEVALUE(Raw_Data!B237)),"")</f>
        <v>46097</v>
      </c>
      <c r="C237" t="str">
        <f>PROPER(TRIM(Raw_Data!C237))</f>
        <v>Neha</v>
      </c>
      <c r="D237" t="str">
        <f>IF(TRIM(Raw_Data!D237)="Bangalore","Bengaluru",IF(TRIM(Raw_Data!D237)="Mysore","Mysuru",IF(TRIM(Raw_Data!D237)="Cochin","Kochi",PROPER(TRIM(Raw_Data!D237)))))</f>
        <v>Bengaluru</v>
      </c>
      <c r="E237" t="str">
        <f>PROPER(TRIM(Raw_Data!E237))</f>
        <v>Corporate</v>
      </c>
      <c r="F237" t="str">
        <f>PROPER(TRIM(Raw_Data!F237))</f>
        <v>Enterprise</v>
      </c>
      <c r="G237" t="str">
        <f>PROPER(TRIM(Raw_Data!G237))</f>
        <v>Monitor</v>
      </c>
      <c r="H237" t="str">
        <f>PROPER(TRIM(Raw_Data!H237))</f>
        <v>Monitor 24</v>
      </c>
      <c r="I237">
        <f>IFERROR(MAX(0,VALUE(Raw_Data!I237)),0)</f>
        <v>6</v>
      </c>
      <c r="J237" s="13">
        <f>IFERROR(VALUE(Raw_Data!J237),0)</f>
        <v>26026</v>
      </c>
      <c r="K237" s="14">
        <f>IFERROR(VALUE(Raw_Data!K237),0)</f>
        <v>0.15</v>
      </c>
      <c r="L237" t="str">
        <f>PROPER(TRIM(Raw_Data!L237))</f>
        <v>Returned</v>
      </c>
      <c r="M237" s="13">
        <f t="shared" si="24"/>
        <v>156156</v>
      </c>
      <c r="N237" s="13">
        <f t="shared" si="25"/>
        <v>23423.4</v>
      </c>
      <c r="O237" s="13">
        <f t="shared" si="26"/>
        <v>132732.6</v>
      </c>
      <c r="P237" s="13">
        <f t="shared" si="27"/>
        <v>109309.2</v>
      </c>
      <c r="Q237" s="13">
        <f t="shared" si="28"/>
        <v>23423.4</v>
      </c>
      <c r="R237" s="10">
        <f t="shared" si="29"/>
        <v>0.176470588235294</v>
      </c>
      <c r="S237" t="str">
        <f t="shared" si="30"/>
        <v>Mar-2026</v>
      </c>
      <c r="T237" t="str">
        <f t="shared" si="31"/>
        <v>OK</v>
      </c>
    </row>
    <row r="238" spans="1:20">
      <c r="A238" t="str">
        <f>TRIM(Raw_Data!A238)</f>
        <v>ORD-10237</v>
      </c>
      <c r="B238" s="12">
        <f>IFERROR(IF(ISNUMBER(Raw_Data!B238),Raw_Data!B238,DATEVALUE(Raw_Data!B238)),"")</f>
        <v>46139</v>
      </c>
      <c r="C238" t="str">
        <f>PROPER(TRIM(Raw_Data!C238))</f>
        <v>Arjun</v>
      </c>
      <c r="D238" t="str">
        <f>IF(TRIM(Raw_Data!D238)="Bangalore","Bengaluru",IF(TRIM(Raw_Data!D238)="Mysore","Mysuru",IF(TRIM(Raw_Data!D238)="Cochin","Kochi",PROPER(TRIM(Raw_Data!D238)))))</f>
        <v>Hyderabad</v>
      </c>
      <c r="E238" t="str">
        <f>PROPER(TRIM(Raw_Data!E238))</f>
        <v>Retail Store</v>
      </c>
      <c r="F238" t="str">
        <f>PROPER(TRIM(Raw_Data!F238))</f>
        <v>Consumer</v>
      </c>
      <c r="G238" t="str">
        <f>PROPER(TRIM(Raw_Data!G238))</f>
        <v>Monitor</v>
      </c>
      <c r="H238" t="str">
        <f>PROPER(TRIM(Raw_Data!H238))</f>
        <v>Monitor 32</v>
      </c>
      <c r="I238">
        <f>IFERROR(MAX(0,VALUE(Raw_Data!I238)),0)</f>
        <v>3</v>
      </c>
      <c r="J238" s="13">
        <f>IFERROR(VALUE(Raw_Data!J238),0)</f>
        <v>18346</v>
      </c>
      <c r="K238" s="14">
        <f>IFERROR(VALUE(Raw_Data!K238),0)</f>
        <v>0</v>
      </c>
      <c r="L238" t="str">
        <f>PROPER(TRIM(Raw_Data!L238))</f>
        <v>Delivered</v>
      </c>
      <c r="M238" s="13">
        <f t="shared" si="24"/>
        <v>55038</v>
      </c>
      <c r="N238" s="13">
        <f t="shared" si="25"/>
        <v>0</v>
      </c>
      <c r="O238" s="13">
        <f t="shared" si="26"/>
        <v>55038</v>
      </c>
      <c r="P238" s="13">
        <f t="shared" si="27"/>
        <v>38526.6</v>
      </c>
      <c r="Q238" s="13">
        <f t="shared" si="28"/>
        <v>16511.4</v>
      </c>
      <c r="R238" s="10">
        <f t="shared" si="29"/>
        <v>0.3</v>
      </c>
      <c r="S238" t="str">
        <f t="shared" si="30"/>
        <v>Apr-2026</v>
      </c>
      <c r="T238" t="str">
        <f t="shared" si="31"/>
        <v>OK</v>
      </c>
    </row>
    <row r="239" spans="1:20">
      <c r="A239" t="str">
        <f>TRIM(Raw_Data!A239)</f>
        <v>ORD-10238</v>
      </c>
      <c r="B239" s="12">
        <f>IFERROR(IF(ISNUMBER(Raw_Data!B239),Raw_Data!B239,DATEVALUE(Raw_Data!B239)),"")</f>
        <v>46261</v>
      </c>
      <c r="C239" t="str">
        <f>PROPER(TRIM(Raw_Data!C239))</f>
        <v>Bhoomika</v>
      </c>
      <c r="D239" t="str">
        <f>IF(TRIM(Raw_Data!D239)="Bangalore","Bengaluru",IF(TRIM(Raw_Data!D239)="Mysore","Mysuru",IF(TRIM(Raw_Data!D239)="Cochin","Kochi",PROPER(TRIM(Raw_Data!D239)))))</f>
        <v>Mysuru</v>
      </c>
      <c r="E239" t="str">
        <f>PROPER(TRIM(Raw_Data!E239))</f>
        <v>Corporate</v>
      </c>
      <c r="F239" t="str">
        <f>PROPER(TRIM(Raw_Data!F239))</f>
        <v>Consumer</v>
      </c>
      <c r="G239" t="str">
        <f>PROPER(TRIM(Raw_Data!G239))</f>
        <v>Mouse</v>
      </c>
      <c r="H239" t="str">
        <f>PROPER(TRIM(Raw_Data!H239))</f>
        <v>Mouse Wireless</v>
      </c>
      <c r="I239">
        <f>IFERROR(MAX(0,VALUE(Raw_Data!I239)),0)</f>
        <v>6</v>
      </c>
      <c r="J239" s="13">
        <f>IFERROR(VALUE(Raw_Data!J239),0)</f>
        <v>2937</v>
      </c>
      <c r="K239" s="14">
        <f>IFERROR(VALUE(Raw_Data!K239),0)</f>
        <v>0</v>
      </c>
      <c r="L239" t="str">
        <f>PROPER(TRIM(Raw_Data!L239))</f>
        <v>Returned</v>
      </c>
      <c r="M239" s="13">
        <f t="shared" si="24"/>
        <v>17622</v>
      </c>
      <c r="N239" s="13">
        <f t="shared" si="25"/>
        <v>0</v>
      </c>
      <c r="O239" s="13">
        <f t="shared" si="26"/>
        <v>17622</v>
      </c>
      <c r="P239" s="13">
        <f t="shared" si="27"/>
        <v>9692.1</v>
      </c>
      <c r="Q239" s="13">
        <f t="shared" si="28"/>
        <v>7929.9</v>
      </c>
      <c r="R239" s="10">
        <f t="shared" si="29"/>
        <v>0.45</v>
      </c>
      <c r="S239" t="str">
        <f t="shared" si="30"/>
        <v>Aug-2026</v>
      </c>
      <c r="T239" t="str">
        <f t="shared" si="31"/>
        <v>OK</v>
      </c>
    </row>
    <row r="240" spans="1:20">
      <c r="A240" t="str">
        <f>TRIM(Raw_Data!A240)</f>
        <v>ORD-10239</v>
      </c>
      <c r="B240" s="12">
        <f>IFERROR(IF(ISNUMBER(Raw_Data!B240),Raw_Data!B240,DATEVALUE(Raw_Data!B240)),"")</f>
        <v>46181</v>
      </c>
      <c r="C240" t="str">
        <f>PROPER(TRIM(Raw_Data!C240))</f>
        <v>Bhoomika</v>
      </c>
      <c r="D240" t="str">
        <f>IF(TRIM(Raw_Data!D240)="Bangalore","Bengaluru",IF(TRIM(Raw_Data!D240)="Mysore","Mysuru",IF(TRIM(Raw_Data!D240)="Cochin","Kochi",PROPER(TRIM(Raw_Data!D240)))))</f>
        <v>New Delhi</v>
      </c>
      <c r="E240" t="str">
        <f>PROPER(TRIM(Raw_Data!E240))</f>
        <v>Retail Store</v>
      </c>
      <c r="F240" t="str">
        <f>PROPER(TRIM(Raw_Data!F240))</f>
        <v>Smb</v>
      </c>
      <c r="G240" t="str">
        <f>PROPER(TRIM(Raw_Data!G240))</f>
        <v>Monitor</v>
      </c>
      <c r="H240" t="str">
        <f>PROPER(TRIM(Raw_Data!H240))</f>
        <v>Monitor 27</v>
      </c>
      <c r="I240">
        <f>IFERROR(MAX(0,VALUE(Raw_Data!I240)),0)</f>
        <v>4</v>
      </c>
      <c r="J240" s="13">
        <f>IFERROR(VALUE(Raw_Data!J240),0)</f>
        <v>19694</v>
      </c>
      <c r="K240" s="14">
        <f>IFERROR(VALUE(Raw_Data!K240),0)</f>
        <v>0.1</v>
      </c>
      <c r="L240" t="str">
        <f>PROPER(TRIM(Raw_Data!L240))</f>
        <v>Cancelled</v>
      </c>
      <c r="M240" s="13">
        <f t="shared" si="24"/>
        <v>78776</v>
      </c>
      <c r="N240" s="13">
        <f t="shared" si="25"/>
        <v>7877.6</v>
      </c>
      <c r="O240" s="13">
        <f t="shared" si="26"/>
        <v>70898.4</v>
      </c>
      <c r="P240" s="13">
        <f t="shared" si="27"/>
        <v>55143.2</v>
      </c>
      <c r="Q240" s="13">
        <f t="shared" si="28"/>
        <v>15755.2</v>
      </c>
      <c r="R240" s="10">
        <f t="shared" si="29"/>
        <v>0.222222222222222</v>
      </c>
      <c r="S240" t="str">
        <f t="shared" si="30"/>
        <v>Jun-2026</v>
      </c>
      <c r="T240" t="str">
        <f t="shared" si="31"/>
        <v>OK</v>
      </c>
    </row>
    <row r="241" spans="1:20">
      <c r="A241" t="str">
        <f>TRIM(Raw_Data!A241)</f>
        <v>ORD-10240</v>
      </c>
      <c r="B241" s="12">
        <f>IFERROR(IF(ISNUMBER(Raw_Data!B241),Raw_Data!B241,DATEVALUE(Raw_Data!B241)),"")</f>
        <v>46241</v>
      </c>
      <c r="C241" t="str">
        <f>PROPER(TRIM(Raw_Data!C241))</f>
        <v>Neha</v>
      </c>
      <c r="D241" t="str">
        <f>IF(TRIM(Raw_Data!D241)="Bangalore","Bengaluru",IF(TRIM(Raw_Data!D241)="Mysore","Mysuru",IF(TRIM(Raw_Data!D241)="Cochin","Kochi",PROPER(TRIM(Raw_Data!D241)))))</f>
        <v>Kochi</v>
      </c>
      <c r="E241" t="str">
        <f>PROPER(TRIM(Raw_Data!E241))</f>
        <v>Retail Store</v>
      </c>
      <c r="F241" t="str">
        <f>PROPER(TRIM(Raw_Data!F241))</f>
        <v>Consumer</v>
      </c>
      <c r="G241" t="str">
        <f>PROPER(TRIM(Raw_Data!G241))</f>
        <v>Mouse</v>
      </c>
      <c r="H241" t="str">
        <f>PROPER(TRIM(Raw_Data!H241))</f>
        <v>Mouse Ergonomic</v>
      </c>
      <c r="I241">
        <f>IFERROR(MAX(0,VALUE(Raw_Data!I241)),0)</f>
        <v>5</v>
      </c>
      <c r="J241" s="13">
        <f>IFERROR(VALUE(Raw_Data!J241),0)</f>
        <v>2112</v>
      </c>
      <c r="K241" s="14">
        <f>IFERROR(VALUE(Raw_Data!K241),0)</f>
        <v>0.08</v>
      </c>
      <c r="L241" t="str">
        <f>PROPER(TRIM(Raw_Data!L241))</f>
        <v>Cancelled</v>
      </c>
      <c r="M241" s="13">
        <f t="shared" si="24"/>
        <v>10560</v>
      </c>
      <c r="N241" s="13">
        <f t="shared" si="25"/>
        <v>844.8</v>
      </c>
      <c r="O241" s="13">
        <f t="shared" si="26"/>
        <v>9715.2</v>
      </c>
      <c r="P241" s="13">
        <f t="shared" si="27"/>
        <v>5808</v>
      </c>
      <c r="Q241" s="13">
        <f t="shared" si="28"/>
        <v>3907.2</v>
      </c>
      <c r="R241" s="10">
        <f t="shared" si="29"/>
        <v>0.402173913043478</v>
      </c>
      <c r="S241" t="str">
        <f t="shared" si="30"/>
        <v>Aug-2026</v>
      </c>
      <c r="T241" t="str">
        <f t="shared" si="31"/>
        <v>OK</v>
      </c>
    </row>
    <row r="242" spans="1:20">
      <c r="A242" t="str">
        <f>TRIM(Raw_Data!A242)</f>
        <v>ORD-10241</v>
      </c>
      <c r="B242" s="12">
        <f>IFERROR(IF(ISNUMBER(Raw_Data!B242),Raw_Data!B242,DATEVALUE(Raw_Data!B242)),"")</f>
        <v>46157</v>
      </c>
      <c r="C242" t="str">
        <f>PROPER(TRIM(Raw_Data!C242))</f>
        <v>Priya</v>
      </c>
      <c r="D242" t="str">
        <f>IF(TRIM(Raw_Data!D242)="Bangalore","Bengaluru",IF(TRIM(Raw_Data!D242)="Mysore","Mysuru",IF(TRIM(Raw_Data!D242)="Cochin","Kochi",PROPER(TRIM(Raw_Data!D242)))))</f>
        <v>Kochi</v>
      </c>
      <c r="E242" t="str">
        <f>PROPER(TRIM(Raw_Data!E242))</f>
        <v>Retail Store</v>
      </c>
      <c r="F242" t="str">
        <f>PROPER(TRIM(Raw_Data!F242))</f>
        <v>Smb</v>
      </c>
      <c r="G242" t="str">
        <f>PROPER(TRIM(Raw_Data!G242))</f>
        <v>Keyboard</v>
      </c>
      <c r="H242" t="str">
        <f>PROPER(TRIM(Raw_Data!H242))</f>
        <v>Keyboard Wireless</v>
      </c>
      <c r="I242">
        <f>IFERROR(MAX(0,VALUE(Raw_Data!I242)),0)</f>
        <v>7</v>
      </c>
      <c r="J242" s="13">
        <f>IFERROR(VALUE(Raw_Data!J242),0)</f>
        <v>0</v>
      </c>
      <c r="K242" s="14">
        <f>IFERROR(VALUE(Raw_Data!K242),0)</f>
        <v>0.02</v>
      </c>
      <c r="L242" t="str">
        <f>PROPER(TRIM(Raw_Data!L242))</f>
        <v>Cancelled</v>
      </c>
      <c r="M242" s="13">
        <f t="shared" si="24"/>
        <v>0</v>
      </c>
      <c r="N242" s="13">
        <f t="shared" si="25"/>
        <v>0</v>
      </c>
      <c r="O242" s="13">
        <f t="shared" si="26"/>
        <v>0</v>
      </c>
      <c r="P242" s="13">
        <f t="shared" si="27"/>
        <v>0</v>
      </c>
      <c r="Q242" s="13">
        <f t="shared" si="28"/>
        <v>0</v>
      </c>
      <c r="R242" s="10">
        <f t="shared" si="29"/>
        <v>0</v>
      </c>
      <c r="S242" t="str">
        <f t="shared" si="30"/>
        <v>May-2026</v>
      </c>
      <c r="T242" t="str">
        <f t="shared" si="31"/>
        <v>CHECK</v>
      </c>
    </row>
    <row r="243" spans="1:20">
      <c r="A243" t="str">
        <f>TRIM(Raw_Data!A243)</f>
        <v>ORD-10242</v>
      </c>
      <c r="B243" s="12">
        <f>IFERROR(IF(ISNUMBER(Raw_Data!B243),Raw_Data!B243,DATEVALUE(Raw_Data!B243)),"")</f>
        <v>46186</v>
      </c>
      <c r="C243" t="str">
        <f>PROPER(TRIM(Raw_Data!C243))</f>
        <v>Ravi</v>
      </c>
      <c r="D243" t="str">
        <f>IF(TRIM(Raw_Data!D243)="Bangalore","Bengaluru",IF(TRIM(Raw_Data!D243)="Mysore","Mysuru",IF(TRIM(Raw_Data!D243)="Cochin","Kochi",PROPER(TRIM(Raw_Data!D243)))))</f>
        <v>Mumbai</v>
      </c>
      <c r="E243" t="str">
        <f>PROPER(TRIM(Raw_Data!E243))</f>
        <v>Retail Store</v>
      </c>
      <c r="F243" t="str">
        <f>PROPER(TRIM(Raw_Data!F243))</f>
        <v>Enterprise</v>
      </c>
      <c r="G243" t="str">
        <f>PROPER(TRIM(Raw_Data!G243))</f>
        <v>Mouse</v>
      </c>
      <c r="H243" t="str">
        <f>PROPER(TRIM(Raw_Data!H243))</f>
        <v>Mouse Wireless</v>
      </c>
      <c r="I243">
        <f>IFERROR(MAX(0,VALUE(Raw_Data!I243)),0)</f>
        <v>1</v>
      </c>
      <c r="J243" s="13">
        <f>IFERROR(VALUE(Raw_Data!J243),0)</f>
        <v>0</v>
      </c>
      <c r="K243" s="14">
        <f>IFERROR(VALUE(Raw_Data!K243),0)</f>
        <v>0</v>
      </c>
      <c r="L243" t="str">
        <f>PROPER(TRIM(Raw_Data!L243))</f>
        <v>Delivered</v>
      </c>
      <c r="M243" s="13">
        <f t="shared" si="24"/>
        <v>0</v>
      </c>
      <c r="N243" s="13">
        <f t="shared" si="25"/>
        <v>0</v>
      </c>
      <c r="O243" s="13">
        <f t="shared" si="26"/>
        <v>0</v>
      </c>
      <c r="P243" s="13">
        <f t="shared" si="27"/>
        <v>0</v>
      </c>
      <c r="Q243" s="13">
        <f t="shared" si="28"/>
        <v>0</v>
      </c>
      <c r="R243" s="10">
        <f t="shared" si="29"/>
        <v>0</v>
      </c>
      <c r="S243" t="str">
        <f t="shared" si="30"/>
        <v>Jun-2026</v>
      </c>
      <c r="T243" t="str">
        <f t="shared" si="31"/>
        <v>CHECK</v>
      </c>
    </row>
    <row r="244" spans="1:20">
      <c r="A244" t="str">
        <f>TRIM(Raw_Data!A244)</f>
        <v>ORD-10243</v>
      </c>
      <c r="B244" s="12">
        <f>IFERROR(IF(ISNUMBER(Raw_Data!B244),Raw_Data!B244,DATEVALUE(Raw_Data!B244)),"")</f>
        <v>46060</v>
      </c>
      <c r="C244" t="str">
        <f>PROPER(TRIM(Raw_Data!C244))</f>
        <v>Bhoomika</v>
      </c>
      <c r="D244" t="str">
        <f>IF(TRIM(Raw_Data!D244)="Bangalore","Bengaluru",IF(TRIM(Raw_Data!D244)="Mysore","Mysuru",IF(TRIM(Raw_Data!D244)="Cochin","Kochi",PROPER(TRIM(Raw_Data!D244)))))</f>
        <v>Hyderabad</v>
      </c>
      <c r="E244" t="str">
        <f>PROPER(TRIM(Raw_Data!E244))</f>
        <v>Corporate</v>
      </c>
      <c r="F244" t="str">
        <f>PROPER(TRIM(Raw_Data!F244))</f>
        <v>Consumer</v>
      </c>
      <c r="G244" t="str">
        <f>PROPER(TRIM(Raw_Data!G244))</f>
        <v>Keyboard</v>
      </c>
      <c r="H244" t="str">
        <f>PROPER(TRIM(Raw_Data!H244))</f>
        <v>Keyboard Mechanical</v>
      </c>
      <c r="I244">
        <f>IFERROR(MAX(0,VALUE(Raw_Data!I244)),0)</f>
        <v>7</v>
      </c>
      <c r="J244" s="13">
        <f>IFERROR(VALUE(Raw_Data!J244),0)</f>
        <v>1633</v>
      </c>
      <c r="K244" s="14">
        <f>IFERROR(VALUE(Raw_Data!K244),0)</f>
        <v>0.15</v>
      </c>
      <c r="L244" t="str">
        <f>PROPER(TRIM(Raw_Data!L244))</f>
        <v>Delivered</v>
      </c>
      <c r="M244" s="13">
        <f t="shared" si="24"/>
        <v>11431</v>
      </c>
      <c r="N244" s="13">
        <f t="shared" si="25"/>
        <v>1714.65</v>
      </c>
      <c r="O244" s="13">
        <f t="shared" si="26"/>
        <v>9716.35</v>
      </c>
      <c r="P244" s="13">
        <f t="shared" si="27"/>
        <v>6629.98</v>
      </c>
      <c r="Q244" s="13">
        <f t="shared" si="28"/>
        <v>3086.37</v>
      </c>
      <c r="R244" s="10">
        <f t="shared" si="29"/>
        <v>0.31764705882353</v>
      </c>
      <c r="S244" t="str">
        <f t="shared" si="30"/>
        <v>Feb-2026</v>
      </c>
      <c r="T244" t="str">
        <f t="shared" si="31"/>
        <v>OK</v>
      </c>
    </row>
    <row r="245" spans="1:20">
      <c r="A245" t="str">
        <f>TRIM(Raw_Data!A245)</f>
        <v>ORD-10244</v>
      </c>
      <c r="B245" s="12">
        <f>IFERROR(IF(ISNUMBER(Raw_Data!B245),Raw_Data!B245,DATEVALUE(Raw_Data!B245)),"")</f>
        <v>46201</v>
      </c>
      <c r="C245" t="str">
        <f>PROPER(TRIM(Raw_Data!C245))</f>
        <v>Priya</v>
      </c>
      <c r="D245" t="str">
        <f>IF(TRIM(Raw_Data!D245)="Bangalore","Bengaluru",IF(TRIM(Raw_Data!D245)="Mysore","Mysuru",IF(TRIM(Raw_Data!D245)="Cochin","Kochi",PROPER(TRIM(Raw_Data!D245)))))</f>
        <v>Delhi</v>
      </c>
      <c r="E245" t="str">
        <f>PROPER(TRIM(Raw_Data!E245))</f>
        <v>Online</v>
      </c>
      <c r="F245" t="str">
        <f>PROPER(TRIM(Raw_Data!F245))</f>
        <v>Consumer</v>
      </c>
      <c r="G245" t="str">
        <f>PROPER(TRIM(Raw_Data!G245))</f>
        <v>Keyboard</v>
      </c>
      <c r="H245" t="str">
        <f>PROPER(TRIM(Raw_Data!H245))</f>
        <v>Keyboard Wireless</v>
      </c>
      <c r="I245">
        <f>IFERROR(MAX(0,VALUE(Raw_Data!I245)),0)</f>
        <v>6</v>
      </c>
      <c r="J245" s="13">
        <f>IFERROR(VALUE(Raw_Data!J245),0)</f>
        <v>0</v>
      </c>
      <c r="K245" s="14">
        <f>IFERROR(VALUE(Raw_Data!K245),0)</f>
        <v>0.08</v>
      </c>
      <c r="L245" t="str">
        <f>PROPER(TRIM(Raw_Data!L245))</f>
        <v>Pending</v>
      </c>
      <c r="M245" s="13">
        <f t="shared" si="24"/>
        <v>0</v>
      </c>
      <c r="N245" s="13">
        <f t="shared" si="25"/>
        <v>0</v>
      </c>
      <c r="O245" s="13">
        <f t="shared" si="26"/>
        <v>0</v>
      </c>
      <c r="P245" s="13">
        <f t="shared" si="27"/>
        <v>0</v>
      </c>
      <c r="Q245" s="13">
        <f t="shared" si="28"/>
        <v>0</v>
      </c>
      <c r="R245" s="10">
        <f t="shared" si="29"/>
        <v>0</v>
      </c>
      <c r="S245" t="str">
        <f t="shared" si="30"/>
        <v>Jun-2026</v>
      </c>
      <c r="T245" t="str">
        <f t="shared" si="31"/>
        <v>CHECK</v>
      </c>
    </row>
    <row r="246" spans="1:20">
      <c r="A246" t="str">
        <f>TRIM(Raw_Data!A246)</f>
        <v>ORD-10245</v>
      </c>
      <c r="B246" s="12">
        <f>IFERROR(IF(ISNUMBER(Raw_Data!B246),Raw_Data!B246,DATEVALUE(Raw_Data!B246)),"")</f>
        <v>46058</v>
      </c>
      <c r="C246" t="str">
        <f>PROPER(TRIM(Raw_Data!C246))</f>
        <v>Bhoomika</v>
      </c>
      <c r="D246" t="str">
        <f>IF(TRIM(Raw_Data!D246)="Bangalore","Bengaluru",IF(TRIM(Raw_Data!D246)="Mysore","Mysuru",IF(TRIM(Raw_Data!D246)="Cochin","Kochi",PROPER(TRIM(Raw_Data!D246)))))</f>
        <v>New Delhi</v>
      </c>
      <c r="E246" t="str">
        <f>PROPER(TRIM(Raw_Data!E246))</f>
        <v>Online</v>
      </c>
      <c r="F246" t="str">
        <f>PROPER(TRIM(Raw_Data!F246))</f>
        <v>Smb</v>
      </c>
      <c r="G246" t="str">
        <f>PROPER(TRIM(Raw_Data!G246))</f>
        <v>Mouse</v>
      </c>
      <c r="H246" t="str">
        <f>PROPER(TRIM(Raw_Data!H246))</f>
        <v>Mouse Basic</v>
      </c>
      <c r="I246">
        <f>IFERROR(MAX(0,VALUE(Raw_Data!I246)),0)</f>
        <v>3</v>
      </c>
      <c r="J246" s="13">
        <f>IFERROR(VALUE(Raw_Data!J246),0)</f>
        <v>1185</v>
      </c>
      <c r="K246" s="14">
        <f>IFERROR(VALUE(Raw_Data!K246),0)</f>
        <v>0.15</v>
      </c>
      <c r="L246" t="str">
        <f>PROPER(TRIM(Raw_Data!L246))</f>
        <v>Delivered</v>
      </c>
      <c r="M246" s="13">
        <f t="shared" si="24"/>
        <v>3555</v>
      </c>
      <c r="N246" s="13">
        <f t="shared" si="25"/>
        <v>533.25</v>
      </c>
      <c r="O246" s="13">
        <f t="shared" si="26"/>
        <v>3021.75</v>
      </c>
      <c r="P246" s="13">
        <f t="shared" si="27"/>
        <v>1955.25</v>
      </c>
      <c r="Q246" s="13">
        <f t="shared" si="28"/>
        <v>1066.5</v>
      </c>
      <c r="R246" s="10">
        <f t="shared" si="29"/>
        <v>0.352941176470588</v>
      </c>
      <c r="S246" t="str">
        <f t="shared" si="30"/>
        <v>Feb-2026</v>
      </c>
      <c r="T246" t="str">
        <f t="shared" si="31"/>
        <v>OK</v>
      </c>
    </row>
    <row r="247" spans="1:20">
      <c r="A247" t="str">
        <f>TRIM(Raw_Data!A247)</f>
        <v>ORD-10246</v>
      </c>
      <c r="B247" s="12">
        <f>IFERROR(IF(ISNUMBER(Raw_Data!B247),Raw_Data!B247,DATEVALUE(Raw_Data!B247)),"")</f>
        <v>46087</v>
      </c>
      <c r="C247" t="str">
        <f>PROPER(TRIM(Raw_Data!C247))</f>
        <v>Ravi</v>
      </c>
      <c r="D247" t="str">
        <f>IF(TRIM(Raw_Data!D247)="Bangalore","Bengaluru",IF(TRIM(Raw_Data!D247)="Mysore","Mysuru",IF(TRIM(Raw_Data!D247)="Cochin","Kochi",PROPER(TRIM(Raw_Data!D247)))))</f>
        <v>Mumbai</v>
      </c>
      <c r="E247" t="str">
        <f>PROPER(TRIM(Raw_Data!E247))</f>
        <v>Retail Store</v>
      </c>
      <c r="F247" t="str">
        <f>PROPER(TRIM(Raw_Data!F247))</f>
        <v>Enterprise</v>
      </c>
      <c r="G247" t="str">
        <f>PROPER(TRIM(Raw_Data!G247))</f>
        <v>Laptop</v>
      </c>
      <c r="H247" t="str">
        <f>PROPER(TRIM(Raw_Data!H247))</f>
        <v>Laptop Pro 14</v>
      </c>
      <c r="I247">
        <f>IFERROR(MAX(0,VALUE(Raw_Data!I247)),0)</f>
        <v>4</v>
      </c>
      <c r="J247" s="13">
        <f>IFERROR(VALUE(Raw_Data!J247),0)</f>
        <v>45673</v>
      </c>
      <c r="K247" s="14">
        <f>IFERROR(VALUE(Raw_Data!K247),0)</f>
        <v>0.02</v>
      </c>
      <c r="L247" t="str">
        <f>PROPER(TRIM(Raw_Data!L247))</f>
        <v>Returned</v>
      </c>
      <c r="M247" s="13">
        <f t="shared" si="24"/>
        <v>182692</v>
      </c>
      <c r="N247" s="13">
        <f t="shared" si="25"/>
        <v>3653.84</v>
      </c>
      <c r="O247" s="13">
        <f t="shared" si="26"/>
        <v>179038.16</v>
      </c>
      <c r="P247" s="13">
        <f t="shared" si="27"/>
        <v>142499.76</v>
      </c>
      <c r="Q247" s="13">
        <f t="shared" si="28"/>
        <v>36538.4</v>
      </c>
      <c r="R247" s="10">
        <f t="shared" si="29"/>
        <v>0.204081632653061</v>
      </c>
      <c r="S247" t="str">
        <f t="shared" si="30"/>
        <v>Mar-2026</v>
      </c>
      <c r="T247" t="str">
        <f t="shared" si="31"/>
        <v>OK</v>
      </c>
    </row>
    <row r="248" spans="1:20">
      <c r="A248" t="str">
        <f>TRIM(Raw_Data!A248)</f>
        <v>ORD-10247</v>
      </c>
      <c r="B248" s="12">
        <f>IFERROR(IF(ISNUMBER(Raw_Data!B248),Raw_Data!B248,DATEVALUE(Raw_Data!B248)),"")</f>
        <v>46066</v>
      </c>
      <c r="C248" t="str">
        <f>PROPER(TRIM(Raw_Data!C248))</f>
        <v>Priya</v>
      </c>
      <c r="D248" t="str">
        <f>IF(TRIM(Raw_Data!D248)="Bangalore","Bengaluru",IF(TRIM(Raw_Data!D248)="Mysore","Mysuru",IF(TRIM(Raw_Data!D248)="Cochin","Kochi",PROPER(TRIM(Raw_Data!D248)))))</f>
        <v>Chennai</v>
      </c>
      <c r="E248" t="str">
        <f>PROPER(TRIM(Raw_Data!E248))</f>
        <v>Retail Store</v>
      </c>
      <c r="F248" t="str">
        <f>PROPER(TRIM(Raw_Data!F248))</f>
        <v>Smb</v>
      </c>
      <c r="G248" t="str">
        <f>PROPER(TRIM(Raw_Data!G248))</f>
        <v>Headset</v>
      </c>
      <c r="H248" t="str">
        <f>PROPER(TRIM(Raw_Data!H248))</f>
        <v>Headset Pro</v>
      </c>
      <c r="I248">
        <f>IFERROR(MAX(0,VALUE(Raw_Data!I248)),0)</f>
        <v>3</v>
      </c>
      <c r="J248" s="13">
        <f>IFERROR(VALUE(Raw_Data!J248),0)</f>
        <v>7219</v>
      </c>
      <c r="K248" s="14">
        <f>IFERROR(VALUE(Raw_Data!K248),0)</f>
        <v>0.08</v>
      </c>
      <c r="L248" t="str">
        <f>PROPER(TRIM(Raw_Data!L248))</f>
        <v>Returned</v>
      </c>
      <c r="M248" s="13">
        <f t="shared" si="24"/>
        <v>21657</v>
      </c>
      <c r="N248" s="13">
        <f t="shared" si="25"/>
        <v>1732.56</v>
      </c>
      <c r="O248" s="13">
        <f t="shared" si="26"/>
        <v>19924.44</v>
      </c>
      <c r="P248" s="13">
        <f t="shared" si="27"/>
        <v>12994.2</v>
      </c>
      <c r="Q248" s="13">
        <f t="shared" si="28"/>
        <v>6930.24</v>
      </c>
      <c r="R248" s="10">
        <f t="shared" si="29"/>
        <v>0.347826086956522</v>
      </c>
      <c r="S248" t="str">
        <f t="shared" si="30"/>
        <v>Feb-2026</v>
      </c>
      <c r="T248" t="str">
        <f t="shared" si="31"/>
        <v>OK</v>
      </c>
    </row>
    <row r="249" spans="1:20">
      <c r="A249" t="str">
        <f>TRIM(Raw_Data!A249)</f>
        <v>ORD-10248</v>
      </c>
      <c r="B249" s="12">
        <f>IFERROR(IF(ISNUMBER(Raw_Data!B249),Raw_Data!B249,DATEVALUE(Raw_Data!B249)),"")</f>
        <v>46106</v>
      </c>
      <c r="C249" t="str">
        <f>PROPER(TRIM(Raw_Data!C249))</f>
        <v>Ravi</v>
      </c>
      <c r="D249" t="str">
        <f>IF(TRIM(Raw_Data!D249)="Bangalore","Bengaluru",IF(TRIM(Raw_Data!D249)="Mysore","Mysuru",IF(TRIM(Raw_Data!D249)="Cochin","Kochi",PROPER(TRIM(Raw_Data!D249)))))</f>
        <v>Kochi</v>
      </c>
      <c r="E249" t="str">
        <f>PROPER(TRIM(Raw_Data!E249))</f>
        <v>Corporate</v>
      </c>
      <c r="F249" t="str">
        <f>PROPER(TRIM(Raw_Data!F249))</f>
        <v>Smb</v>
      </c>
      <c r="G249" t="str">
        <f>PROPER(TRIM(Raw_Data!G249))</f>
        <v>Mouse</v>
      </c>
      <c r="H249" t="str">
        <f>PROPER(TRIM(Raw_Data!H249))</f>
        <v>Mouse Wireless</v>
      </c>
      <c r="I249">
        <f>IFERROR(MAX(0,VALUE(Raw_Data!I249)),0)</f>
        <v>7</v>
      </c>
      <c r="J249" s="13">
        <f>IFERROR(VALUE(Raw_Data!J249),0)</f>
        <v>2518</v>
      </c>
      <c r="K249" s="14">
        <f>IFERROR(VALUE(Raw_Data!K249),0)</f>
        <v>0.05</v>
      </c>
      <c r="L249" t="str">
        <f>PROPER(TRIM(Raw_Data!L249))</f>
        <v>Pending</v>
      </c>
      <c r="M249" s="13">
        <f t="shared" si="24"/>
        <v>17626</v>
      </c>
      <c r="N249" s="13">
        <f t="shared" si="25"/>
        <v>881.3</v>
      </c>
      <c r="O249" s="13">
        <f t="shared" si="26"/>
        <v>16744.7</v>
      </c>
      <c r="P249" s="13">
        <f t="shared" si="27"/>
        <v>9694.3</v>
      </c>
      <c r="Q249" s="13">
        <f t="shared" si="28"/>
        <v>7050.4</v>
      </c>
      <c r="R249" s="10">
        <f t="shared" si="29"/>
        <v>0.421052631578947</v>
      </c>
      <c r="S249" t="str">
        <f t="shared" si="30"/>
        <v>Mar-2026</v>
      </c>
      <c r="T249" t="str">
        <f t="shared" si="31"/>
        <v>OK</v>
      </c>
    </row>
    <row r="250" spans="1:20">
      <c r="A250" t="str">
        <f>TRIM(Raw_Data!A250)</f>
        <v>ORD-10249</v>
      </c>
      <c r="B250" s="12">
        <f>IFERROR(IF(ISNUMBER(Raw_Data!B250),Raw_Data!B250,DATEVALUE(Raw_Data!B250)),"")</f>
        <v>46049</v>
      </c>
      <c r="C250" t="str">
        <f>PROPER(TRIM(Raw_Data!C250))</f>
        <v>Bhoomika</v>
      </c>
      <c r="D250" t="str">
        <f>IF(TRIM(Raw_Data!D250)="Bangalore","Bengaluru",IF(TRIM(Raw_Data!D250)="Mysore","Mysuru",IF(TRIM(Raw_Data!D250)="Cochin","Kochi",PROPER(TRIM(Raw_Data!D250)))))</f>
        <v>Delhi</v>
      </c>
      <c r="E250" t="str">
        <f>PROPER(TRIM(Raw_Data!E250))</f>
        <v>Corporate</v>
      </c>
      <c r="F250" t="str">
        <f>PROPER(TRIM(Raw_Data!F250))</f>
        <v>Consumer</v>
      </c>
      <c r="G250" t="str">
        <f>PROPER(TRIM(Raw_Data!G250))</f>
        <v>Monitor</v>
      </c>
      <c r="H250" t="str">
        <f>PROPER(TRIM(Raw_Data!H250))</f>
        <v>Monitor 24</v>
      </c>
      <c r="I250">
        <f>IFERROR(MAX(0,VALUE(Raw_Data!I250)),0)</f>
        <v>2</v>
      </c>
      <c r="J250" s="13">
        <f>IFERROR(VALUE(Raw_Data!J250),0)</f>
        <v>20096</v>
      </c>
      <c r="K250" s="14">
        <f>IFERROR(VALUE(Raw_Data!K250),0)</f>
        <v>0.02</v>
      </c>
      <c r="L250" t="str">
        <f>PROPER(TRIM(Raw_Data!L250))</f>
        <v>Pending</v>
      </c>
      <c r="M250" s="13">
        <f t="shared" si="24"/>
        <v>40192</v>
      </c>
      <c r="N250" s="13">
        <f t="shared" si="25"/>
        <v>803.84</v>
      </c>
      <c r="O250" s="13">
        <f t="shared" si="26"/>
        <v>39388.16</v>
      </c>
      <c r="P250" s="13">
        <f t="shared" si="27"/>
        <v>28134.4</v>
      </c>
      <c r="Q250" s="13">
        <f t="shared" si="28"/>
        <v>11253.76</v>
      </c>
      <c r="R250" s="10">
        <f t="shared" si="29"/>
        <v>0.285714285714286</v>
      </c>
      <c r="S250" t="str">
        <f t="shared" si="30"/>
        <v>Jan-2026</v>
      </c>
      <c r="T250" t="str">
        <f t="shared" si="31"/>
        <v>OK</v>
      </c>
    </row>
    <row r="251" spans="1:20">
      <c r="A251" t="str">
        <f>TRIM(Raw_Data!A251)</f>
        <v>ORD-10250</v>
      </c>
      <c r="B251" s="12">
        <f>IFERROR(IF(ISNUMBER(Raw_Data!B251),Raw_Data!B251,DATEVALUE(Raw_Data!B251)),"")</f>
        <v>46087</v>
      </c>
      <c r="C251" t="str">
        <f>PROPER(TRIM(Raw_Data!C251))</f>
        <v>Kiran</v>
      </c>
      <c r="D251" t="str">
        <f>IF(TRIM(Raw_Data!D251)="Bangalore","Bengaluru",IF(TRIM(Raw_Data!D251)="Mysore","Mysuru",IF(TRIM(Raw_Data!D251)="Cochin","Kochi",PROPER(TRIM(Raw_Data!D251)))))</f>
        <v>Pune</v>
      </c>
      <c r="E251" t="str">
        <f>PROPER(TRIM(Raw_Data!E251))</f>
        <v>Retail Store</v>
      </c>
      <c r="F251" t="str">
        <f>PROPER(TRIM(Raw_Data!F251))</f>
        <v>Smb</v>
      </c>
      <c r="G251" t="str">
        <f>PROPER(TRIM(Raw_Data!G251))</f>
        <v>Mouse</v>
      </c>
      <c r="H251" t="str">
        <f>PROPER(TRIM(Raw_Data!H251))</f>
        <v>Mouse Ergonomic</v>
      </c>
      <c r="I251">
        <f>IFERROR(MAX(0,VALUE(Raw_Data!I251)),0)</f>
        <v>8</v>
      </c>
      <c r="J251" s="13">
        <f>IFERROR(VALUE(Raw_Data!J251),0)</f>
        <v>916</v>
      </c>
      <c r="K251" s="14">
        <f>IFERROR(VALUE(Raw_Data!K251),0)</f>
        <v>0.15</v>
      </c>
      <c r="L251" t="str">
        <f>PROPER(TRIM(Raw_Data!L251))</f>
        <v>Delivered</v>
      </c>
      <c r="M251" s="13">
        <f t="shared" si="24"/>
        <v>7328</v>
      </c>
      <c r="N251" s="13">
        <f t="shared" si="25"/>
        <v>1099.2</v>
      </c>
      <c r="O251" s="13">
        <f t="shared" si="26"/>
        <v>6228.8</v>
      </c>
      <c r="P251" s="13">
        <f t="shared" si="27"/>
        <v>4030.4</v>
      </c>
      <c r="Q251" s="13">
        <f t="shared" si="28"/>
        <v>2198.4</v>
      </c>
      <c r="R251" s="10">
        <f t="shared" si="29"/>
        <v>0.352941176470588</v>
      </c>
      <c r="S251" t="str">
        <f t="shared" si="30"/>
        <v>Mar-2026</v>
      </c>
      <c r="T251" t="str">
        <f t="shared" si="31"/>
        <v>OK</v>
      </c>
    </row>
    <row r="252" spans="1:20">
      <c r="A252" t="str">
        <f>TRIM(Raw_Data!A252)</f>
        <v>ORD-10251</v>
      </c>
      <c r="B252" s="12">
        <f>IFERROR(IF(ISNUMBER(Raw_Data!B252),Raw_Data!B252,DATEVALUE(Raw_Data!B252)),"")</f>
        <v>46162</v>
      </c>
      <c r="C252" t="str">
        <f>PROPER(TRIM(Raw_Data!C252))</f>
        <v>Bhoomika</v>
      </c>
      <c r="D252" t="str">
        <f>IF(TRIM(Raw_Data!D252)="Bangalore","Bengaluru",IF(TRIM(Raw_Data!D252)="Mysore","Mysuru",IF(TRIM(Raw_Data!D252)="Cochin","Kochi",PROPER(TRIM(Raw_Data!D252)))))</f>
        <v>Kochi</v>
      </c>
      <c r="E252" t="str">
        <f>PROPER(TRIM(Raw_Data!E252))</f>
        <v>Retail Store</v>
      </c>
      <c r="F252" t="str">
        <f>PROPER(TRIM(Raw_Data!F252))</f>
        <v>Consumer</v>
      </c>
      <c r="G252" t="str">
        <f>PROPER(TRIM(Raw_Data!G252))</f>
        <v>Laptop</v>
      </c>
      <c r="H252" t="str">
        <f>PROPER(TRIM(Raw_Data!H252))</f>
        <v>Laptop Pro 14</v>
      </c>
      <c r="I252">
        <f>IFERROR(MAX(0,VALUE(Raw_Data!I252)),0)</f>
        <v>8</v>
      </c>
      <c r="J252" s="13">
        <f>IFERROR(VALUE(Raw_Data!J252),0)</f>
        <v>52807</v>
      </c>
      <c r="K252" s="14">
        <f>IFERROR(VALUE(Raw_Data!K252),0)</f>
        <v>0.08</v>
      </c>
      <c r="L252" t="str">
        <f>PROPER(TRIM(Raw_Data!L252))</f>
        <v>Delivered</v>
      </c>
      <c r="M252" s="13">
        <f t="shared" si="24"/>
        <v>422456</v>
      </c>
      <c r="N252" s="13">
        <f t="shared" si="25"/>
        <v>33796.48</v>
      </c>
      <c r="O252" s="13">
        <f t="shared" si="26"/>
        <v>388659.52</v>
      </c>
      <c r="P252" s="13">
        <f t="shared" si="27"/>
        <v>329515.68</v>
      </c>
      <c r="Q252" s="13">
        <f t="shared" si="28"/>
        <v>59143.84</v>
      </c>
      <c r="R252" s="10">
        <f t="shared" si="29"/>
        <v>0.152173913043478</v>
      </c>
      <c r="S252" t="str">
        <f t="shared" si="30"/>
        <v>May-2026</v>
      </c>
      <c r="T252" t="str">
        <f t="shared" si="31"/>
        <v>OK</v>
      </c>
    </row>
    <row r="253" spans="1:20">
      <c r="A253" t="str">
        <f>TRIM(Raw_Data!A253)</f>
        <v>ORD-10252</v>
      </c>
      <c r="B253" s="12">
        <f>IFERROR(IF(ISNUMBER(Raw_Data!B253),Raw_Data!B253,DATEVALUE(Raw_Data!B253)),"")</f>
        <v>46037</v>
      </c>
      <c r="C253" t="str">
        <f>PROPER(TRIM(Raw_Data!C253))</f>
        <v>Arjun</v>
      </c>
      <c r="D253" t="str">
        <f>IF(TRIM(Raw_Data!D253)="Bangalore","Bengaluru",IF(TRIM(Raw_Data!D253)="Mysore","Mysuru",IF(TRIM(Raw_Data!D253)="Cochin","Kochi",PROPER(TRIM(Raw_Data!D253)))))</f>
        <v>Mysuru</v>
      </c>
      <c r="E253" t="str">
        <f>PROPER(TRIM(Raw_Data!E253))</f>
        <v>Online</v>
      </c>
      <c r="F253" t="str">
        <f>PROPER(TRIM(Raw_Data!F253))</f>
        <v>Consumer</v>
      </c>
      <c r="G253" t="str">
        <f>PROPER(TRIM(Raw_Data!G253))</f>
        <v>Mouse</v>
      </c>
      <c r="H253" t="str">
        <f>PROPER(TRIM(Raw_Data!H253))</f>
        <v>Mouse Ergonomic</v>
      </c>
      <c r="I253">
        <f>IFERROR(MAX(0,VALUE(Raw_Data!I253)),0)</f>
        <v>1</v>
      </c>
      <c r="J253" s="13">
        <f>IFERROR(VALUE(Raw_Data!J253),0)</f>
        <v>1865</v>
      </c>
      <c r="K253" s="14">
        <f>IFERROR(VALUE(Raw_Data!K253),0)</f>
        <v>0</v>
      </c>
      <c r="L253" t="str">
        <f>PROPER(TRIM(Raw_Data!L253))</f>
        <v>Cancelled</v>
      </c>
      <c r="M253" s="13">
        <f t="shared" si="24"/>
        <v>1865</v>
      </c>
      <c r="N253" s="13">
        <f t="shared" si="25"/>
        <v>0</v>
      </c>
      <c r="O253" s="13">
        <f t="shared" si="26"/>
        <v>1865</v>
      </c>
      <c r="P253" s="13">
        <f t="shared" si="27"/>
        <v>1025.75</v>
      </c>
      <c r="Q253" s="13">
        <f t="shared" si="28"/>
        <v>839.25</v>
      </c>
      <c r="R253" s="10">
        <f t="shared" si="29"/>
        <v>0.45</v>
      </c>
      <c r="S253" t="str">
        <f t="shared" si="30"/>
        <v>Jan-2026</v>
      </c>
      <c r="T253" t="str">
        <f t="shared" si="31"/>
        <v>OK</v>
      </c>
    </row>
    <row r="254" spans="1:20">
      <c r="A254" t="str">
        <f>TRIM(Raw_Data!A254)</f>
        <v>ORD-10253</v>
      </c>
      <c r="B254" s="12">
        <f>IFERROR(IF(ISNUMBER(Raw_Data!B254),Raw_Data!B254,DATEVALUE(Raw_Data!B254)),"")</f>
        <v>46044</v>
      </c>
      <c r="C254" t="str">
        <f>PROPER(TRIM(Raw_Data!C254))</f>
        <v>Kiran</v>
      </c>
      <c r="D254" t="str">
        <f>IF(TRIM(Raw_Data!D254)="Bangalore","Bengaluru",IF(TRIM(Raw_Data!D254)="Mysore","Mysuru",IF(TRIM(Raw_Data!D254)="Cochin","Kochi",PROPER(TRIM(Raw_Data!D254)))))</f>
        <v>Chennai</v>
      </c>
      <c r="E254" t="str">
        <f>PROPER(TRIM(Raw_Data!E254))</f>
        <v>Corporate</v>
      </c>
      <c r="F254" t="str">
        <f>PROPER(TRIM(Raw_Data!F254))</f>
        <v>Enterprise</v>
      </c>
      <c r="G254" t="str">
        <f>PROPER(TRIM(Raw_Data!G254))</f>
        <v>Laptop</v>
      </c>
      <c r="H254" t="str">
        <f>PROPER(TRIM(Raw_Data!H254))</f>
        <v>Laptop Air 13</v>
      </c>
      <c r="I254">
        <f>IFERROR(MAX(0,VALUE(Raw_Data!I254)),0)</f>
        <v>1</v>
      </c>
      <c r="J254" s="13">
        <f>IFERROR(VALUE(Raw_Data!J254),0)</f>
        <v>67124</v>
      </c>
      <c r="K254" s="14">
        <f>IFERROR(VALUE(Raw_Data!K254),0)</f>
        <v>0.08</v>
      </c>
      <c r="L254" t="str">
        <f>PROPER(TRIM(Raw_Data!L254))</f>
        <v>Returned</v>
      </c>
      <c r="M254" s="13">
        <f t="shared" si="24"/>
        <v>67124</v>
      </c>
      <c r="N254" s="13">
        <f t="shared" si="25"/>
        <v>5369.92</v>
      </c>
      <c r="O254" s="13">
        <f t="shared" si="26"/>
        <v>61754.08</v>
      </c>
      <c r="P254" s="13">
        <f t="shared" si="27"/>
        <v>52356.72</v>
      </c>
      <c r="Q254" s="13">
        <f t="shared" si="28"/>
        <v>9397.36</v>
      </c>
      <c r="R254" s="10">
        <f t="shared" si="29"/>
        <v>0.152173913043478</v>
      </c>
      <c r="S254" t="str">
        <f t="shared" si="30"/>
        <v>Jan-2026</v>
      </c>
      <c r="T254" t="str">
        <f t="shared" si="31"/>
        <v>OK</v>
      </c>
    </row>
    <row r="255" spans="1:20">
      <c r="A255" t="str">
        <f>TRIM(Raw_Data!A255)</f>
        <v>ORD-10254</v>
      </c>
      <c r="B255" s="12">
        <f>IFERROR(IF(ISNUMBER(Raw_Data!B255),Raw_Data!B255,DATEVALUE(Raw_Data!B255)),"")</f>
        <v>46193</v>
      </c>
      <c r="C255" t="str">
        <f>PROPER(TRIM(Raw_Data!C255))</f>
        <v>Asha</v>
      </c>
      <c r="D255" t="str">
        <f>IF(TRIM(Raw_Data!D255)="Bangalore","Bengaluru",IF(TRIM(Raw_Data!D255)="Mysore","Mysuru",IF(TRIM(Raw_Data!D255)="Cochin","Kochi",PROPER(TRIM(Raw_Data!D255)))))</f>
        <v>Mumbai</v>
      </c>
      <c r="E255" t="str">
        <f>PROPER(TRIM(Raw_Data!E255))</f>
        <v>Online</v>
      </c>
      <c r="F255" t="str">
        <f>PROPER(TRIM(Raw_Data!F255))</f>
        <v>Smb</v>
      </c>
      <c r="G255" t="str">
        <f>PROPER(TRIM(Raw_Data!G255))</f>
        <v>Keyboard</v>
      </c>
      <c r="H255" t="str">
        <f>PROPER(TRIM(Raw_Data!H255))</f>
        <v>Keyboard Wireless</v>
      </c>
      <c r="I255">
        <f>IFERROR(MAX(0,VALUE(Raw_Data!I255)),0)</f>
        <v>2</v>
      </c>
      <c r="J255" s="13">
        <f>IFERROR(VALUE(Raw_Data!J255),0)</f>
        <v>2852</v>
      </c>
      <c r="K255" s="14">
        <f>IFERROR(VALUE(Raw_Data!K255),0)</f>
        <v>0.1</v>
      </c>
      <c r="L255" t="str">
        <f>PROPER(TRIM(Raw_Data!L255))</f>
        <v>Delivered</v>
      </c>
      <c r="M255" s="13">
        <f t="shared" si="24"/>
        <v>5704</v>
      </c>
      <c r="N255" s="13">
        <f t="shared" si="25"/>
        <v>570.4</v>
      </c>
      <c r="O255" s="13">
        <f t="shared" si="26"/>
        <v>5133.6</v>
      </c>
      <c r="P255" s="13">
        <f t="shared" si="27"/>
        <v>3308.32</v>
      </c>
      <c r="Q255" s="13">
        <f t="shared" si="28"/>
        <v>1825.28</v>
      </c>
      <c r="R255" s="10">
        <f t="shared" si="29"/>
        <v>0.355555555555556</v>
      </c>
      <c r="S255" t="str">
        <f t="shared" si="30"/>
        <v>Jun-2026</v>
      </c>
      <c r="T255" t="str">
        <f t="shared" si="31"/>
        <v>OK</v>
      </c>
    </row>
    <row r="256" spans="1:20">
      <c r="A256" t="str">
        <f>TRIM(Raw_Data!A256)</f>
        <v>ORD-10255</v>
      </c>
      <c r="B256" s="12">
        <f>IFERROR(IF(ISNUMBER(Raw_Data!B256),Raw_Data!B256,DATEVALUE(Raw_Data!B256)),"")</f>
        <v>46233</v>
      </c>
      <c r="C256" t="str">
        <f>PROPER(TRIM(Raw_Data!C256))</f>
        <v>Priya</v>
      </c>
      <c r="D256" t="str">
        <f>IF(TRIM(Raw_Data!D256)="Bangalore","Bengaluru",IF(TRIM(Raw_Data!D256)="Mysore","Mysuru",IF(TRIM(Raw_Data!D256)="Cochin","Kochi",PROPER(TRIM(Raw_Data!D256)))))</f>
        <v>Mumbai</v>
      </c>
      <c r="E256" t="str">
        <f>PROPER(TRIM(Raw_Data!E256))</f>
        <v>Corporate</v>
      </c>
      <c r="F256" t="str">
        <f>PROPER(TRIM(Raw_Data!F256))</f>
        <v>Consumer</v>
      </c>
      <c r="G256" t="str">
        <f>PROPER(TRIM(Raw_Data!G256))</f>
        <v>Keyboard</v>
      </c>
      <c r="H256" t="str">
        <f>PROPER(TRIM(Raw_Data!H256))</f>
        <v>Keyboard Office</v>
      </c>
      <c r="I256">
        <f>IFERROR(MAX(0,VALUE(Raw_Data!I256)),0)</f>
        <v>7</v>
      </c>
      <c r="J256" s="13">
        <f>IFERROR(VALUE(Raw_Data!J256),0)</f>
        <v>3766</v>
      </c>
      <c r="K256" s="14">
        <f>IFERROR(VALUE(Raw_Data!K256),0)</f>
        <v>0.05</v>
      </c>
      <c r="L256" t="str">
        <f>PROPER(TRIM(Raw_Data!L256))</f>
        <v>Cancelled</v>
      </c>
      <c r="M256" s="13">
        <f t="shared" si="24"/>
        <v>26362</v>
      </c>
      <c r="N256" s="13">
        <f t="shared" si="25"/>
        <v>1318.1</v>
      </c>
      <c r="O256" s="13">
        <f t="shared" si="26"/>
        <v>25043.9</v>
      </c>
      <c r="P256" s="13">
        <f t="shared" si="27"/>
        <v>15289.96</v>
      </c>
      <c r="Q256" s="13">
        <f t="shared" si="28"/>
        <v>9753.94</v>
      </c>
      <c r="R256" s="10">
        <f t="shared" si="29"/>
        <v>0.389473684210526</v>
      </c>
      <c r="S256" t="str">
        <f t="shared" si="30"/>
        <v>Jul-2026</v>
      </c>
      <c r="T256" t="str">
        <f t="shared" si="31"/>
        <v>OK</v>
      </c>
    </row>
    <row r="257" spans="1:20">
      <c r="A257" t="str">
        <f>TRIM(Raw_Data!A257)</f>
        <v>ORD-10256</v>
      </c>
      <c r="B257" s="12">
        <f>IFERROR(IF(ISNUMBER(Raw_Data!B257),Raw_Data!B257,DATEVALUE(Raw_Data!B257)),"")</f>
        <v>46038</v>
      </c>
      <c r="C257" t="str">
        <f>PROPER(TRIM(Raw_Data!C257))</f>
        <v>Ravi</v>
      </c>
      <c r="D257" t="str">
        <f>IF(TRIM(Raw_Data!D257)="Bangalore","Bengaluru",IF(TRIM(Raw_Data!D257)="Mysore","Mysuru",IF(TRIM(Raw_Data!D257)="Cochin","Kochi",PROPER(TRIM(Raw_Data!D257)))))</f>
        <v>Delhi</v>
      </c>
      <c r="E257" t="str">
        <f>PROPER(TRIM(Raw_Data!E257))</f>
        <v>Retail Store</v>
      </c>
      <c r="F257" t="str">
        <f>PROPER(TRIM(Raw_Data!F257))</f>
        <v>Consumer</v>
      </c>
      <c r="G257" t="str">
        <f>PROPER(TRIM(Raw_Data!G257))</f>
        <v>Headset</v>
      </c>
      <c r="H257" t="str">
        <f>PROPER(TRIM(Raw_Data!H257))</f>
        <v>Headset Pro</v>
      </c>
      <c r="I257">
        <f>IFERROR(MAX(0,VALUE(Raw_Data!I257)),0)</f>
        <v>5</v>
      </c>
      <c r="J257" s="13">
        <f>IFERROR(VALUE(Raw_Data!J257),0)</f>
        <v>7114</v>
      </c>
      <c r="K257" s="14">
        <f>IFERROR(VALUE(Raw_Data!K257),0)</f>
        <v>0.08</v>
      </c>
      <c r="L257" t="str">
        <f>PROPER(TRIM(Raw_Data!L257))</f>
        <v>Pending</v>
      </c>
      <c r="M257" s="13">
        <f t="shared" si="24"/>
        <v>35570</v>
      </c>
      <c r="N257" s="13">
        <f t="shared" si="25"/>
        <v>2845.6</v>
      </c>
      <c r="O257" s="13">
        <f t="shared" si="26"/>
        <v>32724.4</v>
      </c>
      <c r="P257" s="13">
        <f t="shared" si="27"/>
        <v>21342</v>
      </c>
      <c r="Q257" s="13">
        <f t="shared" si="28"/>
        <v>11382.4</v>
      </c>
      <c r="R257" s="10">
        <f t="shared" si="29"/>
        <v>0.347826086956522</v>
      </c>
      <c r="S257" t="str">
        <f t="shared" si="30"/>
        <v>Jan-2026</v>
      </c>
      <c r="T257" t="str">
        <f t="shared" si="31"/>
        <v>OK</v>
      </c>
    </row>
    <row r="258" spans="1:20">
      <c r="A258" t="str">
        <f>TRIM(Raw_Data!A258)</f>
        <v>ORD-10257</v>
      </c>
      <c r="B258" s="12">
        <f>IFERROR(IF(ISNUMBER(Raw_Data!B258),Raw_Data!B258,DATEVALUE(Raw_Data!B258)),"")</f>
        <v>46134</v>
      </c>
      <c r="C258" t="str">
        <f>PROPER(TRIM(Raw_Data!C258))</f>
        <v>Asha</v>
      </c>
      <c r="D258" t="str">
        <f>IF(TRIM(Raw_Data!D258)="Bangalore","Bengaluru",IF(TRIM(Raw_Data!D258)="Mysore","Mysuru",IF(TRIM(Raw_Data!D258)="Cochin","Kochi",PROPER(TRIM(Raw_Data!D258)))))</f>
        <v>Bengaluru</v>
      </c>
      <c r="E258" t="str">
        <f>PROPER(TRIM(Raw_Data!E258))</f>
        <v>Online</v>
      </c>
      <c r="F258" t="str">
        <f>PROPER(TRIM(Raw_Data!F258))</f>
        <v>Smb</v>
      </c>
      <c r="G258" t="str">
        <f>PROPER(TRIM(Raw_Data!G258))</f>
        <v>Mouse</v>
      </c>
      <c r="H258" t="str">
        <f>PROPER(TRIM(Raw_Data!H258))</f>
        <v>Mouse Basic</v>
      </c>
      <c r="I258">
        <f>IFERROR(MAX(0,VALUE(Raw_Data!I258)),0)</f>
        <v>5</v>
      </c>
      <c r="J258" s="13">
        <f>IFERROR(VALUE(Raw_Data!J258),0)</f>
        <v>1258</v>
      </c>
      <c r="K258" s="14">
        <f>IFERROR(VALUE(Raw_Data!K258),0)</f>
        <v>0.05</v>
      </c>
      <c r="L258" t="str">
        <f>PROPER(TRIM(Raw_Data!L258))</f>
        <v>Returned</v>
      </c>
      <c r="M258" s="13">
        <f t="shared" ref="M258:M321" si="32">I258*J258</f>
        <v>6290</v>
      </c>
      <c r="N258" s="13">
        <f t="shared" ref="N258:N321" si="33">M258*K258</f>
        <v>314.5</v>
      </c>
      <c r="O258" s="13">
        <f t="shared" ref="O258:O321" si="34">M258-N258</f>
        <v>5975.5</v>
      </c>
      <c r="P258" s="13">
        <f t="shared" ref="P258:P321" si="35">M258*IF(G258="Laptop",0.78,IF(G258="Monitor",0.7,IF(G258="Keyboard",0.58,IF(G258="Mouse",0.55,0.6))))</f>
        <v>3459.5</v>
      </c>
      <c r="Q258" s="13">
        <f t="shared" ref="Q258:Q321" si="36">O258-P258</f>
        <v>2516</v>
      </c>
      <c r="R258" s="10">
        <f t="shared" ref="R258:R321" si="37">IFERROR(Q258/O258,0)</f>
        <v>0.421052631578947</v>
      </c>
      <c r="S258" t="str">
        <f t="shared" ref="S258:S321" si="38">IF(B258="","",TEXT(B258,"mmm-yyyy"))</f>
        <v>Apr-2026</v>
      </c>
      <c r="T258" t="str">
        <f t="shared" ref="T258:T321" si="39">IF(OR(A258="",B258="",I258&lt;=0,J258&lt;=0,L258=""),"CHECK","OK")</f>
        <v>OK</v>
      </c>
    </row>
    <row r="259" spans="1:20">
      <c r="A259" t="str">
        <f>TRIM(Raw_Data!A259)</f>
        <v>ORD-10258</v>
      </c>
      <c r="B259" s="12">
        <f>IFERROR(IF(ISNUMBER(Raw_Data!B259),Raw_Data!B259,DATEVALUE(Raw_Data!B259)),"")</f>
        <v>46208</v>
      </c>
      <c r="C259" t="str">
        <f>PROPER(TRIM(Raw_Data!C259))</f>
        <v>Ravi</v>
      </c>
      <c r="D259" t="str">
        <f>IF(TRIM(Raw_Data!D259)="Bangalore","Bengaluru",IF(TRIM(Raw_Data!D259)="Mysore","Mysuru",IF(TRIM(Raw_Data!D259)="Cochin","Kochi",PROPER(TRIM(Raw_Data!D259)))))</f>
        <v>Chennai</v>
      </c>
      <c r="E259" t="str">
        <f>PROPER(TRIM(Raw_Data!E259))</f>
        <v>Corporate</v>
      </c>
      <c r="F259" t="str">
        <f>PROPER(TRIM(Raw_Data!F259))</f>
        <v>Consumer</v>
      </c>
      <c r="G259" t="str">
        <f>PROPER(TRIM(Raw_Data!G259))</f>
        <v>Monitor</v>
      </c>
      <c r="H259" t="str">
        <f>PROPER(TRIM(Raw_Data!H259))</f>
        <v>Monitor 24</v>
      </c>
      <c r="I259">
        <f>IFERROR(MAX(0,VALUE(Raw_Data!I259)),0)</f>
        <v>5</v>
      </c>
      <c r="J259" s="13">
        <f>IFERROR(VALUE(Raw_Data!J259),0)</f>
        <v>25392</v>
      </c>
      <c r="K259" s="14">
        <f>IFERROR(VALUE(Raw_Data!K259),0)</f>
        <v>0.08</v>
      </c>
      <c r="L259" t="str">
        <f>PROPER(TRIM(Raw_Data!L259))</f>
        <v>Delivered</v>
      </c>
      <c r="M259" s="13">
        <f t="shared" si="32"/>
        <v>126960</v>
      </c>
      <c r="N259" s="13">
        <f t="shared" si="33"/>
        <v>10156.8</v>
      </c>
      <c r="O259" s="13">
        <f t="shared" si="34"/>
        <v>116803.2</v>
      </c>
      <c r="P259" s="13">
        <f t="shared" si="35"/>
        <v>88872</v>
      </c>
      <c r="Q259" s="13">
        <f t="shared" si="36"/>
        <v>27931.2</v>
      </c>
      <c r="R259" s="10">
        <f t="shared" si="37"/>
        <v>0.239130434782609</v>
      </c>
      <c r="S259" t="str">
        <f t="shared" si="38"/>
        <v>Jul-2026</v>
      </c>
      <c r="T259" t="str">
        <f t="shared" si="39"/>
        <v>OK</v>
      </c>
    </row>
    <row r="260" spans="1:20">
      <c r="A260" t="str">
        <f>TRIM(Raw_Data!A260)</f>
        <v>ORD-10259</v>
      </c>
      <c r="B260" s="12">
        <f>IFERROR(IF(ISNUMBER(Raw_Data!B260),Raw_Data!B260,DATEVALUE(Raw_Data!B260)),"")</f>
        <v>46159</v>
      </c>
      <c r="C260" t="str">
        <f>PROPER(TRIM(Raw_Data!C260))</f>
        <v>Arjun</v>
      </c>
      <c r="D260" t="str">
        <f>IF(TRIM(Raw_Data!D260)="Bangalore","Bengaluru",IF(TRIM(Raw_Data!D260)="Mysore","Mysuru",IF(TRIM(Raw_Data!D260)="Cochin","Kochi",PROPER(TRIM(Raw_Data!D260)))))</f>
        <v>Chennai</v>
      </c>
      <c r="E260" t="str">
        <f>PROPER(TRIM(Raw_Data!E260))</f>
        <v>Corporate</v>
      </c>
      <c r="F260" t="str">
        <f>PROPER(TRIM(Raw_Data!F260))</f>
        <v>Consumer</v>
      </c>
      <c r="G260" t="str">
        <f>PROPER(TRIM(Raw_Data!G260))</f>
        <v>Keyboard</v>
      </c>
      <c r="H260" t="str">
        <f>PROPER(TRIM(Raw_Data!H260))</f>
        <v>Keyboard Office</v>
      </c>
      <c r="I260">
        <f>IFERROR(MAX(0,VALUE(Raw_Data!I260)),0)</f>
        <v>4</v>
      </c>
      <c r="J260" s="13">
        <f>IFERROR(VALUE(Raw_Data!J260),0)</f>
        <v>4671</v>
      </c>
      <c r="K260" s="14">
        <f>IFERROR(VALUE(Raw_Data!K260),0)</f>
        <v>0.05</v>
      </c>
      <c r="L260" t="str">
        <f>PROPER(TRIM(Raw_Data!L260))</f>
        <v>Delivered</v>
      </c>
      <c r="M260" s="13">
        <f t="shared" si="32"/>
        <v>18684</v>
      </c>
      <c r="N260" s="13">
        <f t="shared" si="33"/>
        <v>934.2</v>
      </c>
      <c r="O260" s="13">
        <f t="shared" si="34"/>
        <v>17749.8</v>
      </c>
      <c r="P260" s="13">
        <f t="shared" si="35"/>
        <v>10836.72</v>
      </c>
      <c r="Q260" s="13">
        <f t="shared" si="36"/>
        <v>6913.08</v>
      </c>
      <c r="R260" s="10">
        <f t="shared" si="37"/>
        <v>0.389473684210526</v>
      </c>
      <c r="S260" t="str">
        <f t="shared" si="38"/>
        <v>May-2026</v>
      </c>
      <c r="T260" t="str">
        <f t="shared" si="39"/>
        <v>OK</v>
      </c>
    </row>
    <row r="261" spans="1:20">
      <c r="A261" t="str">
        <f>TRIM(Raw_Data!A261)</f>
        <v>ORD-10260</v>
      </c>
      <c r="B261" s="12">
        <f>IFERROR(IF(ISNUMBER(Raw_Data!B261),Raw_Data!B261,DATEVALUE(Raw_Data!B261)),"")</f>
        <v>46230</v>
      </c>
      <c r="C261" t="str">
        <f>PROPER(TRIM(Raw_Data!C261))</f>
        <v>Priya</v>
      </c>
      <c r="D261" t="str">
        <f>IF(TRIM(Raw_Data!D261)="Bangalore","Bengaluru",IF(TRIM(Raw_Data!D261)="Mysore","Mysuru",IF(TRIM(Raw_Data!D261)="Cochin","Kochi",PROPER(TRIM(Raw_Data!D261)))))</f>
        <v>Pune</v>
      </c>
      <c r="E261" t="str">
        <f>PROPER(TRIM(Raw_Data!E261))</f>
        <v>Corporate</v>
      </c>
      <c r="F261" t="str">
        <f>PROPER(TRIM(Raw_Data!F261))</f>
        <v>Smb</v>
      </c>
      <c r="G261" t="str">
        <f>PROPER(TRIM(Raw_Data!G261))</f>
        <v>Laptop</v>
      </c>
      <c r="H261" t="str">
        <f>PROPER(TRIM(Raw_Data!H261))</f>
        <v>Business Laptop 15</v>
      </c>
      <c r="I261">
        <f>IFERROR(MAX(0,VALUE(Raw_Data!I261)),0)</f>
        <v>5</v>
      </c>
      <c r="J261" s="13">
        <f>IFERROR(VALUE(Raw_Data!J261),0)</f>
        <v>73993</v>
      </c>
      <c r="K261" s="14">
        <f>IFERROR(VALUE(Raw_Data!K261),0)</f>
        <v>0</v>
      </c>
      <c r="L261" t="str">
        <f>PROPER(TRIM(Raw_Data!L261))</f>
        <v>Delivered</v>
      </c>
      <c r="M261" s="13">
        <f t="shared" si="32"/>
        <v>369965</v>
      </c>
      <c r="N261" s="13">
        <f t="shared" si="33"/>
        <v>0</v>
      </c>
      <c r="O261" s="13">
        <f t="shared" si="34"/>
        <v>369965</v>
      </c>
      <c r="P261" s="13">
        <f t="shared" si="35"/>
        <v>288572.7</v>
      </c>
      <c r="Q261" s="13">
        <f t="shared" si="36"/>
        <v>81392.3</v>
      </c>
      <c r="R261" s="10">
        <f t="shared" si="37"/>
        <v>0.22</v>
      </c>
      <c r="S261" t="str">
        <f t="shared" si="38"/>
        <v>Jul-2026</v>
      </c>
      <c r="T261" t="str">
        <f t="shared" si="39"/>
        <v>OK</v>
      </c>
    </row>
    <row r="262" spans="1:20">
      <c r="A262" t="str">
        <f>TRIM(Raw_Data!A262)</f>
        <v>ORD-10261</v>
      </c>
      <c r="B262" s="12">
        <f>IFERROR(IF(ISNUMBER(Raw_Data!B262),Raw_Data!B262,DATEVALUE(Raw_Data!B262)),"")</f>
        <v>46232</v>
      </c>
      <c r="C262" t="str">
        <f>PROPER(TRIM(Raw_Data!C262))</f>
        <v>Asha</v>
      </c>
      <c r="D262" t="str">
        <f>IF(TRIM(Raw_Data!D262)="Bangalore","Bengaluru",IF(TRIM(Raw_Data!D262)="Mysore","Mysuru",IF(TRIM(Raw_Data!D262)="Cochin","Kochi",PROPER(TRIM(Raw_Data!D262)))))</f>
        <v>Mumbai</v>
      </c>
      <c r="E262" t="str">
        <f>PROPER(TRIM(Raw_Data!E262))</f>
        <v>Retail Store</v>
      </c>
      <c r="F262" t="str">
        <f>PROPER(TRIM(Raw_Data!F262))</f>
        <v>Smb</v>
      </c>
      <c r="G262" t="str">
        <f>PROPER(TRIM(Raw_Data!G262))</f>
        <v>Laptop</v>
      </c>
      <c r="H262" t="str">
        <f>PROPER(TRIM(Raw_Data!H262))</f>
        <v>Laptop Pro 14</v>
      </c>
      <c r="I262">
        <f>IFERROR(MAX(0,VALUE(Raw_Data!I262)),0)</f>
        <v>6</v>
      </c>
      <c r="J262" s="13">
        <f>IFERROR(VALUE(Raw_Data!J262),0)</f>
        <v>78183</v>
      </c>
      <c r="K262" s="14">
        <f>IFERROR(VALUE(Raw_Data!K262),0)</f>
        <v>0.08</v>
      </c>
      <c r="L262" t="str">
        <f>PROPER(TRIM(Raw_Data!L262))</f>
        <v>Returned</v>
      </c>
      <c r="M262" s="13">
        <f t="shared" si="32"/>
        <v>469098</v>
      </c>
      <c r="N262" s="13">
        <f t="shared" si="33"/>
        <v>37527.84</v>
      </c>
      <c r="O262" s="13">
        <f t="shared" si="34"/>
        <v>431570.16</v>
      </c>
      <c r="P262" s="13">
        <f t="shared" si="35"/>
        <v>365896.44</v>
      </c>
      <c r="Q262" s="13">
        <f t="shared" si="36"/>
        <v>65673.72</v>
      </c>
      <c r="R262" s="10">
        <f t="shared" si="37"/>
        <v>0.152173913043478</v>
      </c>
      <c r="S262" t="str">
        <f t="shared" si="38"/>
        <v>Jul-2026</v>
      </c>
      <c r="T262" t="str">
        <f t="shared" si="39"/>
        <v>OK</v>
      </c>
    </row>
    <row r="263" spans="1:20">
      <c r="A263" t="str">
        <f>TRIM(Raw_Data!A263)</f>
        <v>ORD-10262</v>
      </c>
      <c r="B263" s="12" t="str">
        <f>IFERROR(IF(ISNUMBER(Raw_Data!B263),Raw_Data!B263,DATEVALUE(Raw_Data!B263)),"")</f>
        <v/>
      </c>
      <c r="C263" t="str">
        <f>PROPER(TRIM(Raw_Data!C263))</f>
        <v>Bhoomika</v>
      </c>
      <c r="D263" t="str">
        <f>IF(TRIM(Raw_Data!D263)="Bangalore","Bengaluru",IF(TRIM(Raw_Data!D263)="Mysore","Mysuru",IF(TRIM(Raw_Data!D263)="Cochin","Kochi",PROPER(TRIM(Raw_Data!D263)))))</f>
        <v>Kochi</v>
      </c>
      <c r="E263" t="str">
        <f>PROPER(TRIM(Raw_Data!E263))</f>
        <v>Online</v>
      </c>
      <c r="F263" t="str">
        <f>PROPER(TRIM(Raw_Data!F263))</f>
        <v>Enterprise</v>
      </c>
      <c r="G263" t="str">
        <f>PROPER(TRIM(Raw_Data!G263))</f>
        <v>Monitor</v>
      </c>
      <c r="H263" t="str">
        <f>PROPER(TRIM(Raw_Data!H263))</f>
        <v>Monitor 32</v>
      </c>
      <c r="I263">
        <f>IFERROR(MAX(0,VALUE(Raw_Data!I263)),0)</f>
        <v>3</v>
      </c>
      <c r="J263" s="13">
        <f>IFERROR(VALUE(Raw_Data!J263),0)</f>
        <v>23794</v>
      </c>
      <c r="K263" s="14">
        <f>IFERROR(VALUE(Raw_Data!K263),0)</f>
        <v>0.15</v>
      </c>
      <c r="L263" t="str">
        <f>PROPER(TRIM(Raw_Data!L263))</f>
        <v>Cancelled</v>
      </c>
      <c r="M263" s="13">
        <f t="shared" si="32"/>
        <v>71382</v>
      </c>
      <c r="N263" s="13">
        <f t="shared" si="33"/>
        <v>10707.3</v>
      </c>
      <c r="O263" s="13">
        <f t="shared" si="34"/>
        <v>60674.7</v>
      </c>
      <c r="P263" s="13">
        <f t="shared" si="35"/>
        <v>49967.4</v>
      </c>
      <c r="Q263" s="13">
        <f t="shared" si="36"/>
        <v>10707.3</v>
      </c>
      <c r="R263" s="10">
        <f t="shared" si="37"/>
        <v>0.176470588235294</v>
      </c>
      <c r="S263" t="str">
        <f t="shared" si="38"/>
        <v/>
      </c>
      <c r="T263" t="str">
        <f t="shared" si="39"/>
        <v>CHECK</v>
      </c>
    </row>
    <row r="264" spans="1:20">
      <c r="A264" t="str">
        <f>TRIM(Raw_Data!A264)</f>
        <v>ORD-10263</v>
      </c>
      <c r="B264" s="12">
        <f>IFERROR(IF(ISNUMBER(Raw_Data!B264),Raw_Data!B264,DATEVALUE(Raw_Data!B264)),"")</f>
        <v>46090</v>
      </c>
      <c r="C264" t="str">
        <f>PROPER(TRIM(Raw_Data!C264))</f>
        <v>Kiran</v>
      </c>
      <c r="D264" t="str">
        <f>IF(TRIM(Raw_Data!D264)="Bangalore","Bengaluru",IF(TRIM(Raw_Data!D264)="Mysore","Mysuru",IF(TRIM(Raw_Data!D264)="Cochin","Kochi",PROPER(TRIM(Raw_Data!D264)))))</f>
        <v>Kochi</v>
      </c>
      <c r="E264" t="str">
        <f>PROPER(TRIM(Raw_Data!E264))</f>
        <v>Corporate</v>
      </c>
      <c r="F264" t="str">
        <f>PROPER(TRIM(Raw_Data!F264))</f>
        <v>Smb</v>
      </c>
      <c r="G264" t="str">
        <f>PROPER(TRIM(Raw_Data!G264))</f>
        <v>Monitor</v>
      </c>
      <c r="H264" t="str">
        <f>PROPER(TRIM(Raw_Data!H264))</f>
        <v>Monitor 24</v>
      </c>
      <c r="I264">
        <f>IFERROR(MAX(0,VALUE(Raw_Data!I264)),0)</f>
        <v>3</v>
      </c>
      <c r="J264" s="13">
        <f>IFERROR(VALUE(Raw_Data!J264),0)</f>
        <v>17524</v>
      </c>
      <c r="K264" s="14">
        <f>IFERROR(VALUE(Raw_Data!K264),0)</f>
        <v>0.1</v>
      </c>
      <c r="L264" t="str">
        <f>PROPER(TRIM(Raw_Data!L264))</f>
        <v>Delivered</v>
      </c>
      <c r="M264" s="13">
        <f t="shared" si="32"/>
        <v>52572</v>
      </c>
      <c r="N264" s="13">
        <f t="shared" si="33"/>
        <v>5257.2</v>
      </c>
      <c r="O264" s="13">
        <f t="shared" si="34"/>
        <v>47314.8</v>
      </c>
      <c r="P264" s="13">
        <f t="shared" si="35"/>
        <v>36800.4</v>
      </c>
      <c r="Q264" s="13">
        <f t="shared" si="36"/>
        <v>10514.4</v>
      </c>
      <c r="R264" s="10">
        <f t="shared" si="37"/>
        <v>0.222222222222222</v>
      </c>
      <c r="S264" t="str">
        <f t="shared" si="38"/>
        <v>Mar-2026</v>
      </c>
      <c r="T264" t="str">
        <f t="shared" si="39"/>
        <v>OK</v>
      </c>
    </row>
    <row r="265" spans="1:20">
      <c r="A265" t="str">
        <f>TRIM(Raw_Data!A265)</f>
        <v>ORD-10264</v>
      </c>
      <c r="B265" s="12">
        <f>IFERROR(IF(ISNUMBER(Raw_Data!B265),Raw_Data!B265,DATEVALUE(Raw_Data!B265)),"")</f>
        <v>46078</v>
      </c>
      <c r="C265" t="str">
        <f>PROPER(TRIM(Raw_Data!C265))</f>
        <v>Meghana</v>
      </c>
      <c r="D265" t="str">
        <f>IF(TRIM(Raw_Data!D265)="Bangalore","Bengaluru",IF(TRIM(Raw_Data!D265)="Mysore","Mysuru",IF(TRIM(Raw_Data!D265)="Cochin","Kochi",PROPER(TRIM(Raw_Data!D265)))))</f>
        <v>Pune</v>
      </c>
      <c r="E265" t="str">
        <f>PROPER(TRIM(Raw_Data!E265))</f>
        <v>Retail Store</v>
      </c>
      <c r="F265" t="str">
        <f>PROPER(TRIM(Raw_Data!F265))</f>
        <v>Enterprise</v>
      </c>
      <c r="G265" t="str">
        <f>PROPER(TRIM(Raw_Data!G265))</f>
        <v>Keyboard</v>
      </c>
      <c r="H265" t="str">
        <f>PROPER(TRIM(Raw_Data!H265))</f>
        <v>Keyboard Office</v>
      </c>
      <c r="I265">
        <f>IFERROR(MAX(0,VALUE(Raw_Data!I265)),0)</f>
        <v>5</v>
      </c>
      <c r="J265" s="13">
        <f>IFERROR(VALUE(Raw_Data!J265),0)</f>
        <v>4546</v>
      </c>
      <c r="K265" s="14">
        <f>IFERROR(VALUE(Raw_Data!K265),0)</f>
        <v>0.05</v>
      </c>
      <c r="L265" t="str">
        <f>PROPER(TRIM(Raw_Data!L265))</f>
        <v>Delivered</v>
      </c>
      <c r="M265" s="13">
        <f t="shared" si="32"/>
        <v>22730</v>
      </c>
      <c r="N265" s="13">
        <f t="shared" si="33"/>
        <v>1136.5</v>
      </c>
      <c r="O265" s="13">
        <f t="shared" si="34"/>
        <v>21593.5</v>
      </c>
      <c r="P265" s="13">
        <f t="shared" si="35"/>
        <v>13183.4</v>
      </c>
      <c r="Q265" s="13">
        <f t="shared" si="36"/>
        <v>8410.1</v>
      </c>
      <c r="R265" s="10">
        <f t="shared" si="37"/>
        <v>0.389473684210526</v>
      </c>
      <c r="S265" t="str">
        <f t="shared" si="38"/>
        <v>Feb-2026</v>
      </c>
      <c r="T265" t="str">
        <f t="shared" si="39"/>
        <v>OK</v>
      </c>
    </row>
    <row r="266" spans="1:20">
      <c r="A266" t="str">
        <f>TRIM(Raw_Data!A266)</f>
        <v>ORD-10265</v>
      </c>
      <c r="B266" s="12">
        <f>IFERROR(IF(ISNUMBER(Raw_Data!B266),Raw_Data!B266,DATEVALUE(Raw_Data!B266)),"")</f>
        <v>46165</v>
      </c>
      <c r="C266" t="str">
        <f>PROPER(TRIM(Raw_Data!C266))</f>
        <v>Kiran</v>
      </c>
      <c r="D266" t="str">
        <f>IF(TRIM(Raw_Data!D266)="Bangalore","Bengaluru",IF(TRIM(Raw_Data!D266)="Mysore","Mysuru",IF(TRIM(Raw_Data!D266)="Cochin","Kochi",PROPER(TRIM(Raw_Data!D266)))))</f>
        <v>Delhi</v>
      </c>
      <c r="E266" t="str">
        <f>PROPER(TRIM(Raw_Data!E266))</f>
        <v>Retail Store</v>
      </c>
      <c r="F266" t="str">
        <f>PROPER(TRIM(Raw_Data!F266))</f>
        <v>Consumer</v>
      </c>
      <c r="G266" t="str">
        <f>PROPER(TRIM(Raw_Data!G266))</f>
        <v>Laptop</v>
      </c>
      <c r="H266" t="str">
        <f>PROPER(TRIM(Raw_Data!H266))</f>
        <v>Laptop Pro 14</v>
      </c>
      <c r="I266">
        <f>IFERROR(MAX(0,VALUE(Raw_Data!I266)),0)</f>
        <v>1</v>
      </c>
      <c r="J266" s="13">
        <f>IFERROR(VALUE(Raw_Data!J266),0)</f>
        <v>60390</v>
      </c>
      <c r="K266" s="14">
        <f>IFERROR(VALUE(Raw_Data!K266),0)</f>
        <v>0</v>
      </c>
      <c r="L266" t="str">
        <f>PROPER(TRIM(Raw_Data!L266))</f>
        <v>Delivered</v>
      </c>
      <c r="M266" s="13">
        <f t="shared" si="32"/>
        <v>60390</v>
      </c>
      <c r="N266" s="13">
        <f t="shared" si="33"/>
        <v>0</v>
      </c>
      <c r="O266" s="13">
        <f t="shared" si="34"/>
        <v>60390</v>
      </c>
      <c r="P266" s="13">
        <f t="shared" si="35"/>
        <v>47104.2</v>
      </c>
      <c r="Q266" s="13">
        <f t="shared" si="36"/>
        <v>13285.8</v>
      </c>
      <c r="R266" s="10">
        <f t="shared" si="37"/>
        <v>0.22</v>
      </c>
      <c r="S266" t="str">
        <f t="shared" si="38"/>
        <v>May-2026</v>
      </c>
      <c r="T266" t="str">
        <f t="shared" si="39"/>
        <v>OK</v>
      </c>
    </row>
    <row r="267" spans="1:20">
      <c r="A267" t="str">
        <f>TRIM(Raw_Data!A267)</f>
        <v>ORD-10266</v>
      </c>
      <c r="B267" s="12">
        <f>IFERROR(IF(ISNUMBER(Raw_Data!B267),Raw_Data!B267,DATEVALUE(Raw_Data!B267)),"")</f>
        <v>46059</v>
      </c>
      <c r="C267" t="str">
        <f>PROPER(TRIM(Raw_Data!C267))</f>
        <v>Bhoomika</v>
      </c>
      <c r="D267" t="str">
        <f>IF(TRIM(Raw_Data!D267)="Bangalore","Bengaluru",IF(TRIM(Raw_Data!D267)="Mysore","Mysuru",IF(TRIM(Raw_Data!D267)="Cochin","Kochi",PROPER(TRIM(Raw_Data!D267)))))</f>
        <v>Delhi</v>
      </c>
      <c r="E267" t="str">
        <f>PROPER(TRIM(Raw_Data!E267))</f>
        <v>Online</v>
      </c>
      <c r="F267" t="str">
        <f>PROPER(TRIM(Raw_Data!F267))</f>
        <v>Enterprise</v>
      </c>
      <c r="G267" t="str">
        <f>PROPER(TRIM(Raw_Data!G267))</f>
        <v>Keyboard</v>
      </c>
      <c r="H267" t="str">
        <f>PROPER(TRIM(Raw_Data!H267))</f>
        <v>Keyboard Wireless</v>
      </c>
      <c r="I267">
        <f>IFERROR(MAX(0,VALUE(Raw_Data!I267)),0)</f>
        <v>7</v>
      </c>
      <c r="J267" s="13">
        <f>IFERROR(VALUE(Raw_Data!J267),0)</f>
        <v>5289</v>
      </c>
      <c r="K267" s="14">
        <f>IFERROR(VALUE(Raw_Data!K267),0)</f>
        <v>0.05</v>
      </c>
      <c r="L267" t="str">
        <f>PROPER(TRIM(Raw_Data!L267))</f>
        <v>Delivered</v>
      </c>
      <c r="M267" s="13">
        <f t="shared" si="32"/>
        <v>37023</v>
      </c>
      <c r="N267" s="13">
        <f t="shared" si="33"/>
        <v>1851.15</v>
      </c>
      <c r="O267" s="13">
        <f t="shared" si="34"/>
        <v>35171.85</v>
      </c>
      <c r="P267" s="13">
        <f t="shared" si="35"/>
        <v>21473.34</v>
      </c>
      <c r="Q267" s="13">
        <f t="shared" si="36"/>
        <v>13698.51</v>
      </c>
      <c r="R267" s="10">
        <f t="shared" si="37"/>
        <v>0.389473684210526</v>
      </c>
      <c r="S267" t="str">
        <f t="shared" si="38"/>
        <v>Feb-2026</v>
      </c>
      <c r="T267" t="str">
        <f t="shared" si="39"/>
        <v>OK</v>
      </c>
    </row>
    <row r="268" spans="1:20">
      <c r="A268" t="str">
        <f>TRIM(Raw_Data!A268)</f>
        <v>ORD-10267</v>
      </c>
      <c r="B268" s="12">
        <f>IFERROR(IF(ISNUMBER(Raw_Data!B268),Raw_Data!B268,DATEVALUE(Raw_Data!B268)),"")</f>
        <v>46143</v>
      </c>
      <c r="C268" t="str">
        <f>PROPER(TRIM(Raw_Data!C268))</f>
        <v>Neha</v>
      </c>
      <c r="D268" t="str">
        <f>IF(TRIM(Raw_Data!D268)="Bangalore","Bengaluru",IF(TRIM(Raw_Data!D268)="Mysore","Mysuru",IF(TRIM(Raw_Data!D268)="Cochin","Kochi",PROPER(TRIM(Raw_Data!D268)))))</f>
        <v>Mysuru</v>
      </c>
      <c r="E268" t="str">
        <f>PROPER(TRIM(Raw_Data!E268))</f>
        <v>Online</v>
      </c>
      <c r="F268" t="str">
        <f>PROPER(TRIM(Raw_Data!F268))</f>
        <v>Smb</v>
      </c>
      <c r="G268" t="str">
        <f>PROPER(TRIM(Raw_Data!G268))</f>
        <v>Keyboard</v>
      </c>
      <c r="H268" t="str">
        <f>PROPER(TRIM(Raw_Data!H268))</f>
        <v>Keyboard Wireless</v>
      </c>
      <c r="I268">
        <f>IFERROR(MAX(0,VALUE(Raw_Data!I268)),0)</f>
        <v>6</v>
      </c>
      <c r="J268" s="13">
        <f>IFERROR(VALUE(Raw_Data!J268),0)</f>
        <v>5254</v>
      </c>
      <c r="K268" s="14">
        <f>IFERROR(VALUE(Raw_Data!K268),0)</f>
        <v>0.15</v>
      </c>
      <c r="L268" t="str">
        <f>PROPER(TRIM(Raw_Data!L268))</f>
        <v>Cancelled</v>
      </c>
      <c r="M268" s="13">
        <f t="shared" si="32"/>
        <v>31524</v>
      </c>
      <c r="N268" s="13">
        <f t="shared" si="33"/>
        <v>4728.6</v>
      </c>
      <c r="O268" s="13">
        <f t="shared" si="34"/>
        <v>26795.4</v>
      </c>
      <c r="P268" s="13">
        <f t="shared" si="35"/>
        <v>18283.92</v>
      </c>
      <c r="Q268" s="13">
        <f t="shared" si="36"/>
        <v>8511.48</v>
      </c>
      <c r="R268" s="10">
        <f t="shared" si="37"/>
        <v>0.31764705882353</v>
      </c>
      <c r="S268" t="str">
        <f t="shared" si="38"/>
        <v>May-2026</v>
      </c>
      <c r="T268" t="str">
        <f t="shared" si="39"/>
        <v>OK</v>
      </c>
    </row>
    <row r="269" spans="1:20">
      <c r="A269" t="str">
        <f>TRIM(Raw_Data!A269)</f>
        <v>ORD-10268</v>
      </c>
      <c r="B269" s="12">
        <f>IFERROR(IF(ISNUMBER(Raw_Data!B269),Raw_Data!B269,DATEVALUE(Raw_Data!B269)),"")</f>
        <v>46024</v>
      </c>
      <c r="C269" t="str">
        <f>PROPER(TRIM(Raw_Data!C269))</f>
        <v>Ravi</v>
      </c>
      <c r="D269" t="str">
        <f>IF(TRIM(Raw_Data!D269)="Bangalore","Bengaluru",IF(TRIM(Raw_Data!D269)="Mysore","Mysuru",IF(TRIM(Raw_Data!D269)="Cochin","Kochi",PROPER(TRIM(Raw_Data!D269)))))</f>
        <v>Hydrabad</v>
      </c>
      <c r="E269" t="str">
        <f>PROPER(TRIM(Raw_Data!E269))</f>
        <v>Online</v>
      </c>
      <c r="F269" t="str">
        <f>PROPER(TRIM(Raw_Data!F269))</f>
        <v>Smb</v>
      </c>
      <c r="G269" t="str">
        <f>PROPER(TRIM(Raw_Data!G269))</f>
        <v>Headset</v>
      </c>
      <c r="H269" t="str">
        <f>PROPER(TRIM(Raw_Data!H269))</f>
        <v>Headset Office</v>
      </c>
      <c r="I269">
        <f>IFERROR(MAX(0,VALUE(Raw_Data!I269)),0)</f>
        <v>2</v>
      </c>
      <c r="J269" s="13">
        <f>IFERROR(VALUE(Raw_Data!J269),0)</f>
        <v>0</v>
      </c>
      <c r="K269" s="14">
        <f>IFERROR(VALUE(Raw_Data!K269),0)</f>
        <v>0.05</v>
      </c>
      <c r="L269" t="str">
        <f>PROPER(TRIM(Raw_Data!L269))</f>
        <v>Delivered</v>
      </c>
      <c r="M269" s="13">
        <f t="shared" si="32"/>
        <v>0</v>
      </c>
      <c r="N269" s="13">
        <f t="shared" si="33"/>
        <v>0</v>
      </c>
      <c r="O269" s="13">
        <f t="shared" si="34"/>
        <v>0</v>
      </c>
      <c r="P269" s="13">
        <f t="shared" si="35"/>
        <v>0</v>
      </c>
      <c r="Q269" s="13">
        <f t="shared" si="36"/>
        <v>0</v>
      </c>
      <c r="R269" s="10">
        <f t="shared" si="37"/>
        <v>0</v>
      </c>
      <c r="S269" t="str">
        <f t="shared" si="38"/>
        <v>Jan-2026</v>
      </c>
      <c r="T269" t="str">
        <f t="shared" si="39"/>
        <v>CHECK</v>
      </c>
    </row>
    <row r="270" spans="1:20">
      <c r="A270" t="str">
        <f>TRIM(Raw_Data!A270)</f>
        <v>ORD-10269</v>
      </c>
      <c r="B270" s="12">
        <f>IFERROR(IF(ISNUMBER(Raw_Data!B270),Raw_Data!B270,DATEVALUE(Raw_Data!B270)),"")</f>
        <v>46190</v>
      </c>
      <c r="C270" t="str">
        <f>PROPER(TRIM(Raw_Data!C270))</f>
        <v>Kiran</v>
      </c>
      <c r="D270" t="str">
        <f>IF(TRIM(Raw_Data!D270)="Bangalore","Bengaluru",IF(TRIM(Raw_Data!D270)="Mysore","Mysuru",IF(TRIM(Raw_Data!D270)="Cochin","Kochi",PROPER(TRIM(Raw_Data!D270)))))</f>
        <v>Delhi</v>
      </c>
      <c r="E270" t="str">
        <f>PROPER(TRIM(Raw_Data!E270))</f>
        <v>Online</v>
      </c>
      <c r="F270" t="str">
        <f>PROPER(TRIM(Raw_Data!F270))</f>
        <v>Enterprise</v>
      </c>
      <c r="G270" t="str">
        <f>PROPER(TRIM(Raw_Data!G270))</f>
        <v>Headset</v>
      </c>
      <c r="H270" t="str">
        <f>PROPER(TRIM(Raw_Data!H270))</f>
        <v>Headset Wireless</v>
      </c>
      <c r="I270">
        <f>IFERROR(MAX(0,VALUE(Raw_Data!I270)),0)</f>
        <v>5</v>
      </c>
      <c r="J270" s="13">
        <f>IFERROR(VALUE(Raw_Data!J270),0)</f>
        <v>6772</v>
      </c>
      <c r="K270" s="14">
        <f>IFERROR(VALUE(Raw_Data!K270),0)</f>
        <v>0.05</v>
      </c>
      <c r="L270" t="str">
        <f>PROPER(TRIM(Raw_Data!L270))</f>
        <v>Delivered</v>
      </c>
      <c r="M270" s="13">
        <f t="shared" si="32"/>
        <v>33860</v>
      </c>
      <c r="N270" s="13">
        <f t="shared" si="33"/>
        <v>1693</v>
      </c>
      <c r="O270" s="13">
        <f t="shared" si="34"/>
        <v>32167</v>
      </c>
      <c r="P270" s="13">
        <f t="shared" si="35"/>
        <v>20316</v>
      </c>
      <c r="Q270" s="13">
        <f t="shared" si="36"/>
        <v>11851</v>
      </c>
      <c r="R270" s="10">
        <f t="shared" si="37"/>
        <v>0.368421052631579</v>
      </c>
      <c r="S270" t="str">
        <f t="shared" si="38"/>
        <v>Jun-2026</v>
      </c>
      <c r="T270" t="str">
        <f t="shared" si="39"/>
        <v>OK</v>
      </c>
    </row>
    <row r="271" spans="1:20">
      <c r="A271" t="str">
        <f>TRIM(Raw_Data!A271)</f>
        <v>ORD-10270</v>
      </c>
      <c r="B271" s="12">
        <f>IFERROR(IF(ISNUMBER(Raw_Data!B271),Raw_Data!B271,DATEVALUE(Raw_Data!B271)),"")</f>
        <v>46133</v>
      </c>
      <c r="C271" t="str">
        <f>PROPER(TRIM(Raw_Data!C271))</f>
        <v>Kiran</v>
      </c>
      <c r="D271" t="str">
        <f>IF(TRIM(Raw_Data!D271)="Bangalore","Bengaluru",IF(TRIM(Raw_Data!D271)="Mysore","Mysuru",IF(TRIM(Raw_Data!D271)="Cochin","Kochi",PROPER(TRIM(Raw_Data!D271)))))</f>
        <v>Hyderabad</v>
      </c>
      <c r="E271" t="str">
        <f>PROPER(TRIM(Raw_Data!E271))</f>
        <v>Retail Store</v>
      </c>
      <c r="F271" t="str">
        <f>PROPER(TRIM(Raw_Data!F271))</f>
        <v>Enterprise</v>
      </c>
      <c r="G271" t="str">
        <f>PROPER(TRIM(Raw_Data!G271))</f>
        <v>Keyboard</v>
      </c>
      <c r="H271" t="str">
        <f>PROPER(TRIM(Raw_Data!H271))</f>
        <v>Keyboard Office</v>
      </c>
      <c r="I271">
        <f>IFERROR(MAX(0,VALUE(Raw_Data!I271)),0)</f>
        <v>8</v>
      </c>
      <c r="J271" s="13">
        <f>IFERROR(VALUE(Raw_Data!J271),0)</f>
        <v>4210</v>
      </c>
      <c r="K271" s="14">
        <f>IFERROR(VALUE(Raw_Data!K271),0)</f>
        <v>0.08</v>
      </c>
      <c r="L271" t="str">
        <f>PROPER(TRIM(Raw_Data!L271))</f>
        <v>Pending</v>
      </c>
      <c r="M271" s="13">
        <f t="shared" si="32"/>
        <v>33680</v>
      </c>
      <c r="N271" s="13">
        <f t="shared" si="33"/>
        <v>2694.4</v>
      </c>
      <c r="O271" s="13">
        <f t="shared" si="34"/>
        <v>30985.6</v>
      </c>
      <c r="P271" s="13">
        <f t="shared" si="35"/>
        <v>19534.4</v>
      </c>
      <c r="Q271" s="13">
        <f t="shared" si="36"/>
        <v>11451.2</v>
      </c>
      <c r="R271" s="10">
        <f t="shared" si="37"/>
        <v>0.369565217391304</v>
      </c>
      <c r="S271" t="str">
        <f t="shared" si="38"/>
        <v>Apr-2026</v>
      </c>
      <c r="T271" t="str">
        <f t="shared" si="39"/>
        <v>OK</v>
      </c>
    </row>
    <row r="272" spans="1:20">
      <c r="A272" t="str">
        <f>TRIM(Raw_Data!A272)</f>
        <v>ORD-10271</v>
      </c>
      <c r="B272" s="12">
        <f>IFERROR(IF(ISNUMBER(Raw_Data!B272),Raw_Data!B272,DATEVALUE(Raw_Data!B272)),"")</f>
        <v>46184</v>
      </c>
      <c r="C272" t="str">
        <f>PROPER(TRIM(Raw_Data!C272))</f>
        <v>Meghana</v>
      </c>
      <c r="D272" t="str">
        <f>IF(TRIM(Raw_Data!D272)="Bangalore","Bengaluru",IF(TRIM(Raw_Data!D272)="Mysore","Mysuru",IF(TRIM(Raw_Data!D272)="Cochin","Kochi",PROPER(TRIM(Raw_Data!D272)))))</f>
        <v>Mumbai</v>
      </c>
      <c r="E272" t="str">
        <f>PROPER(TRIM(Raw_Data!E272))</f>
        <v>Online</v>
      </c>
      <c r="F272" t="str">
        <f>PROPER(TRIM(Raw_Data!F272))</f>
        <v>Smb</v>
      </c>
      <c r="G272" t="str">
        <f>PROPER(TRIM(Raw_Data!G272))</f>
        <v>Headset</v>
      </c>
      <c r="H272" t="str">
        <f>PROPER(TRIM(Raw_Data!H272))</f>
        <v>Headset Pro</v>
      </c>
      <c r="I272">
        <f>IFERROR(MAX(0,VALUE(Raw_Data!I272)),0)</f>
        <v>3</v>
      </c>
      <c r="J272" s="13">
        <f>IFERROR(VALUE(Raw_Data!J272),0)</f>
        <v>3960</v>
      </c>
      <c r="K272" s="14">
        <f>IFERROR(VALUE(Raw_Data!K272),0)</f>
        <v>0.02</v>
      </c>
      <c r="L272" t="str">
        <f>PROPER(TRIM(Raw_Data!L272))</f>
        <v>Returned</v>
      </c>
      <c r="M272" s="13">
        <f t="shared" si="32"/>
        <v>11880</v>
      </c>
      <c r="N272" s="13">
        <f t="shared" si="33"/>
        <v>237.6</v>
      </c>
      <c r="O272" s="13">
        <f t="shared" si="34"/>
        <v>11642.4</v>
      </c>
      <c r="P272" s="13">
        <f t="shared" si="35"/>
        <v>7128</v>
      </c>
      <c r="Q272" s="13">
        <f t="shared" si="36"/>
        <v>4514.4</v>
      </c>
      <c r="R272" s="10">
        <f t="shared" si="37"/>
        <v>0.387755102040816</v>
      </c>
      <c r="S272" t="str">
        <f t="shared" si="38"/>
        <v>Jun-2026</v>
      </c>
      <c r="T272" t="str">
        <f t="shared" si="39"/>
        <v>OK</v>
      </c>
    </row>
    <row r="273" spans="1:20">
      <c r="A273" t="str">
        <f>TRIM(Raw_Data!A273)</f>
        <v>ORD-10272</v>
      </c>
      <c r="B273" s="12">
        <f>IFERROR(IF(ISNUMBER(Raw_Data!B273),Raw_Data!B273,DATEVALUE(Raw_Data!B273)),"")</f>
        <v>46027</v>
      </c>
      <c r="C273" t="str">
        <f>PROPER(TRIM(Raw_Data!C273))</f>
        <v>Neha</v>
      </c>
      <c r="D273" t="str">
        <f>IF(TRIM(Raw_Data!D273)="Bangalore","Bengaluru",IF(TRIM(Raw_Data!D273)="Mysore","Mysuru",IF(TRIM(Raw_Data!D273)="Cochin","Kochi",PROPER(TRIM(Raw_Data!D273)))))</f>
        <v>Mysuru</v>
      </c>
      <c r="E273" t="str">
        <f>PROPER(TRIM(Raw_Data!E273))</f>
        <v>Retail Store</v>
      </c>
      <c r="F273" t="str">
        <f>PROPER(TRIM(Raw_Data!F273))</f>
        <v>Smb</v>
      </c>
      <c r="G273" t="str">
        <f>PROPER(TRIM(Raw_Data!G273))</f>
        <v>Laptop</v>
      </c>
      <c r="H273" t="str">
        <f>PROPER(TRIM(Raw_Data!H273))</f>
        <v>Business Laptop 15</v>
      </c>
      <c r="I273">
        <f>IFERROR(MAX(0,VALUE(Raw_Data!I273)),0)</f>
        <v>7</v>
      </c>
      <c r="J273" s="13">
        <f>IFERROR(VALUE(Raw_Data!J273),0)</f>
        <v>0</v>
      </c>
      <c r="K273" s="14">
        <f>IFERROR(VALUE(Raw_Data!K273),0)</f>
        <v>0.15</v>
      </c>
      <c r="L273" t="str">
        <f>PROPER(TRIM(Raw_Data!L273))</f>
        <v>Delivered</v>
      </c>
      <c r="M273" s="13">
        <f t="shared" si="32"/>
        <v>0</v>
      </c>
      <c r="N273" s="13">
        <f t="shared" si="33"/>
        <v>0</v>
      </c>
      <c r="O273" s="13">
        <f t="shared" si="34"/>
        <v>0</v>
      </c>
      <c r="P273" s="13">
        <f t="shared" si="35"/>
        <v>0</v>
      </c>
      <c r="Q273" s="13">
        <f t="shared" si="36"/>
        <v>0</v>
      </c>
      <c r="R273" s="10">
        <f t="shared" si="37"/>
        <v>0</v>
      </c>
      <c r="S273" t="str">
        <f t="shared" si="38"/>
        <v>Jan-2026</v>
      </c>
      <c r="T273" t="str">
        <f t="shared" si="39"/>
        <v>CHECK</v>
      </c>
    </row>
    <row r="274" spans="1:20">
      <c r="A274" t="str">
        <f>TRIM(Raw_Data!A274)</f>
        <v>ORD-10273</v>
      </c>
      <c r="B274" s="12">
        <f>IFERROR(IF(ISNUMBER(Raw_Data!B274),Raw_Data!B274,DATEVALUE(Raw_Data!B274)),"")</f>
        <v>46066</v>
      </c>
      <c r="C274" t="str">
        <f>PROPER(TRIM(Raw_Data!C274))</f>
        <v>Kiran</v>
      </c>
      <c r="D274" t="str">
        <f>IF(TRIM(Raw_Data!D274)="Bangalore","Bengaluru",IF(TRIM(Raw_Data!D274)="Mysore","Mysuru",IF(TRIM(Raw_Data!D274)="Cochin","Kochi",PROPER(TRIM(Raw_Data!D274)))))</f>
        <v>Kochi</v>
      </c>
      <c r="E274" t="str">
        <f>PROPER(TRIM(Raw_Data!E274))</f>
        <v>Online</v>
      </c>
      <c r="F274" t="str">
        <f>PROPER(TRIM(Raw_Data!F274))</f>
        <v>Smb</v>
      </c>
      <c r="G274" t="str">
        <f>PROPER(TRIM(Raw_Data!G274))</f>
        <v>Mouse</v>
      </c>
      <c r="H274" t="str">
        <f>PROPER(TRIM(Raw_Data!H274))</f>
        <v>Mouse Ergonomic</v>
      </c>
      <c r="I274">
        <f>IFERROR(MAX(0,VALUE(Raw_Data!I274)),0)</f>
        <v>6</v>
      </c>
      <c r="J274" s="13">
        <f>IFERROR(VALUE(Raw_Data!J274),0)</f>
        <v>3233</v>
      </c>
      <c r="K274" s="14">
        <f>IFERROR(VALUE(Raw_Data!K274),0)</f>
        <v>0.15</v>
      </c>
      <c r="L274" t="str">
        <f>PROPER(TRIM(Raw_Data!L274))</f>
        <v>Returned</v>
      </c>
      <c r="M274" s="13">
        <f t="shared" si="32"/>
        <v>19398</v>
      </c>
      <c r="N274" s="13">
        <f t="shared" si="33"/>
        <v>2909.7</v>
      </c>
      <c r="O274" s="13">
        <f t="shared" si="34"/>
        <v>16488.3</v>
      </c>
      <c r="P274" s="13">
        <f t="shared" si="35"/>
        <v>10668.9</v>
      </c>
      <c r="Q274" s="13">
        <f t="shared" si="36"/>
        <v>5819.4</v>
      </c>
      <c r="R274" s="10">
        <f t="shared" si="37"/>
        <v>0.352941176470588</v>
      </c>
      <c r="S274" t="str">
        <f t="shared" si="38"/>
        <v>Feb-2026</v>
      </c>
      <c r="T274" t="str">
        <f t="shared" si="39"/>
        <v>OK</v>
      </c>
    </row>
    <row r="275" spans="1:20">
      <c r="A275" t="str">
        <f>TRIM(Raw_Data!A275)</f>
        <v>ORD-10274</v>
      </c>
      <c r="B275" s="12" t="str">
        <f>IFERROR(IF(ISNUMBER(Raw_Data!B275),Raw_Data!B275,DATEVALUE(Raw_Data!B275)),"")</f>
        <v/>
      </c>
      <c r="C275" t="str">
        <f>PROPER(TRIM(Raw_Data!C275))</f>
        <v>Neha</v>
      </c>
      <c r="D275" t="str">
        <f>IF(TRIM(Raw_Data!D275)="Bangalore","Bengaluru",IF(TRIM(Raw_Data!D275)="Mysore","Mysuru",IF(TRIM(Raw_Data!D275)="Cochin","Kochi",PROPER(TRIM(Raw_Data!D275)))))</f>
        <v>Mysuru</v>
      </c>
      <c r="E275" t="str">
        <f>PROPER(TRIM(Raw_Data!E275))</f>
        <v>Corporate</v>
      </c>
      <c r="F275" t="str">
        <f>PROPER(TRIM(Raw_Data!F275))</f>
        <v>Enterprise</v>
      </c>
      <c r="G275" t="str">
        <f>PROPER(TRIM(Raw_Data!G275))</f>
        <v>Laptop</v>
      </c>
      <c r="H275" t="str">
        <f>PROPER(TRIM(Raw_Data!H275))</f>
        <v>Laptop Air 13</v>
      </c>
      <c r="I275">
        <f>IFERROR(MAX(0,VALUE(Raw_Data!I275)),0)</f>
        <v>3</v>
      </c>
      <c r="J275" s="13">
        <f>IFERROR(VALUE(Raw_Data!J275),0)</f>
        <v>54710</v>
      </c>
      <c r="K275" s="14">
        <f>IFERROR(VALUE(Raw_Data!K275),0)</f>
        <v>0.02</v>
      </c>
      <c r="L275" t="str">
        <f>PROPER(TRIM(Raw_Data!L275))</f>
        <v>Returned</v>
      </c>
      <c r="M275" s="13">
        <f t="shared" si="32"/>
        <v>164130</v>
      </c>
      <c r="N275" s="13">
        <f t="shared" si="33"/>
        <v>3282.6</v>
      </c>
      <c r="O275" s="13">
        <f t="shared" si="34"/>
        <v>160847.4</v>
      </c>
      <c r="P275" s="13">
        <f t="shared" si="35"/>
        <v>128021.4</v>
      </c>
      <c r="Q275" s="13">
        <f t="shared" si="36"/>
        <v>32826</v>
      </c>
      <c r="R275" s="10">
        <f t="shared" si="37"/>
        <v>0.204081632653061</v>
      </c>
      <c r="S275" t="str">
        <f t="shared" si="38"/>
        <v/>
      </c>
      <c r="T275" t="str">
        <f t="shared" si="39"/>
        <v>CHECK</v>
      </c>
    </row>
    <row r="276" spans="1:20">
      <c r="A276" t="str">
        <f>TRIM(Raw_Data!A276)</f>
        <v>ORD-10275</v>
      </c>
      <c r="B276" s="12">
        <f>IFERROR(IF(ISNUMBER(Raw_Data!B276),Raw_Data!B276,DATEVALUE(Raw_Data!B276)),"")</f>
        <v>46175</v>
      </c>
      <c r="C276" t="str">
        <f>PROPER(TRIM(Raw_Data!C276))</f>
        <v>Asha</v>
      </c>
      <c r="D276" t="str">
        <f>IF(TRIM(Raw_Data!D276)="Bangalore","Bengaluru",IF(TRIM(Raw_Data!D276)="Mysore","Mysuru",IF(TRIM(Raw_Data!D276)="Cochin","Kochi",PROPER(TRIM(Raw_Data!D276)))))</f>
        <v>Bengaluru</v>
      </c>
      <c r="E276" t="str">
        <f>PROPER(TRIM(Raw_Data!E276))</f>
        <v>Online</v>
      </c>
      <c r="F276" t="str">
        <f>PROPER(TRIM(Raw_Data!F276))</f>
        <v>Consumer</v>
      </c>
      <c r="G276" t="str">
        <f>PROPER(TRIM(Raw_Data!G276))</f>
        <v>Headset</v>
      </c>
      <c r="H276" t="str">
        <f>PROPER(TRIM(Raw_Data!H276))</f>
        <v>Headset Wireless</v>
      </c>
      <c r="I276">
        <f>IFERROR(MAX(0,VALUE(Raw_Data!I276)),0)</f>
        <v>8</v>
      </c>
      <c r="J276" s="13">
        <f>IFERROR(VALUE(Raw_Data!J276),0)</f>
        <v>6341</v>
      </c>
      <c r="K276" s="14">
        <f>IFERROR(VALUE(Raw_Data!K276),0)</f>
        <v>0.02</v>
      </c>
      <c r="L276" t="str">
        <f>PROPER(TRIM(Raw_Data!L276))</f>
        <v>Returned</v>
      </c>
      <c r="M276" s="13">
        <f t="shared" si="32"/>
        <v>50728</v>
      </c>
      <c r="N276" s="13">
        <f t="shared" si="33"/>
        <v>1014.56</v>
      </c>
      <c r="O276" s="13">
        <f t="shared" si="34"/>
        <v>49713.44</v>
      </c>
      <c r="P276" s="13">
        <f t="shared" si="35"/>
        <v>30436.8</v>
      </c>
      <c r="Q276" s="13">
        <f t="shared" si="36"/>
        <v>19276.64</v>
      </c>
      <c r="R276" s="10">
        <f t="shared" si="37"/>
        <v>0.387755102040816</v>
      </c>
      <c r="S276" t="str">
        <f t="shared" si="38"/>
        <v>Jun-2026</v>
      </c>
      <c r="T276" t="str">
        <f t="shared" si="39"/>
        <v>OK</v>
      </c>
    </row>
    <row r="277" spans="1:20">
      <c r="A277" t="str">
        <f>TRIM(Raw_Data!A277)</f>
        <v>ORD-10276</v>
      </c>
      <c r="B277" s="12">
        <f>IFERROR(IF(ISNUMBER(Raw_Data!B277),Raw_Data!B277,DATEVALUE(Raw_Data!B277)),"")</f>
        <v>46143</v>
      </c>
      <c r="C277" t="str">
        <f>PROPER(TRIM(Raw_Data!C277))</f>
        <v>Kiran</v>
      </c>
      <c r="D277" t="str">
        <f>IF(TRIM(Raw_Data!D277)="Bangalore","Bengaluru",IF(TRIM(Raw_Data!D277)="Mysore","Mysuru",IF(TRIM(Raw_Data!D277)="Cochin","Kochi",PROPER(TRIM(Raw_Data!D277)))))</f>
        <v>Pune</v>
      </c>
      <c r="E277" t="str">
        <f>PROPER(TRIM(Raw_Data!E277))</f>
        <v>Corporate</v>
      </c>
      <c r="F277" t="str">
        <f>PROPER(TRIM(Raw_Data!F277))</f>
        <v>Enterprise</v>
      </c>
      <c r="G277" t="str">
        <f>PROPER(TRIM(Raw_Data!G277))</f>
        <v>Keyboard</v>
      </c>
      <c r="H277" t="str">
        <f>PROPER(TRIM(Raw_Data!H277))</f>
        <v>Keyboard Mechanical</v>
      </c>
      <c r="I277">
        <f>IFERROR(MAX(0,VALUE(Raw_Data!I277)),0)</f>
        <v>8</v>
      </c>
      <c r="J277" s="13">
        <f>IFERROR(VALUE(Raw_Data!J277),0)</f>
        <v>3978</v>
      </c>
      <c r="K277" s="14">
        <f>IFERROR(VALUE(Raw_Data!K277),0)</f>
        <v>0.02</v>
      </c>
      <c r="L277" t="str">
        <f>PROPER(TRIM(Raw_Data!L277))</f>
        <v>Delivered</v>
      </c>
      <c r="M277" s="13">
        <f t="shared" si="32"/>
        <v>31824</v>
      </c>
      <c r="N277" s="13">
        <f t="shared" si="33"/>
        <v>636.48</v>
      </c>
      <c r="O277" s="13">
        <f t="shared" si="34"/>
        <v>31187.52</v>
      </c>
      <c r="P277" s="13">
        <f t="shared" si="35"/>
        <v>18457.92</v>
      </c>
      <c r="Q277" s="13">
        <f t="shared" si="36"/>
        <v>12729.6</v>
      </c>
      <c r="R277" s="10">
        <f t="shared" si="37"/>
        <v>0.408163265306123</v>
      </c>
      <c r="S277" t="str">
        <f t="shared" si="38"/>
        <v>May-2026</v>
      </c>
      <c r="T277" t="str">
        <f t="shared" si="39"/>
        <v>OK</v>
      </c>
    </row>
    <row r="278" spans="1:20">
      <c r="A278" t="str">
        <f>TRIM(Raw_Data!A278)</f>
        <v>ORD-10277</v>
      </c>
      <c r="B278" s="12">
        <f>IFERROR(IF(ISNUMBER(Raw_Data!B278),Raw_Data!B278,DATEVALUE(Raw_Data!B278)),"")</f>
        <v>46048</v>
      </c>
      <c r="C278" t="str">
        <f>PROPER(TRIM(Raw_Data!C278))</f>
        <v>Asha</v>
      </c>
      <c r="D278" t="str">
        <f>IF(TRIM(Raw_Data!D278)="Bangalore","Bengaluru",IF(TRIM(Raw_Data!D278)="Mysore","Mysuru",IF(TRIM(Raw_Data!D278)="Cochin","Kochi",PROPER(TRIM(Raw_Data!D278)))))</f>
        <v>Mumbai</v>
      </c>
      <c r="E278" t="str">
        <f>PROPER(TRIM(Raw_Data!E278))</f>
        <v>Online</v>
      </c>
      <c r="F278" t="str">
        <f>PROPER(TRIM(Raw_Data!F278))</f>
        <v>Smb</v>
      </c>
      <c r="G278" t="str">
        <f>PROPER(TRIM(Raw_Data!G278))</f>
        <v>Mouse</v>
      </c>
      <c r="H278" t="str">
        <f>PROPER(TRIM(Raw_Data!H278))</f>
        <v>Mouse Ergonomic</v>
      </c>
      <c r="I278">
        <f>IFERROR(MAX(0,VALUE(Raw_Data!I278)),0)</f>
        <v>5</v>
      </c>
      <c r="J278" s="13">
        <f>IFERROR(VALUE(Raw_Data!J278),0)</f>
        <v>774</v>
      </c>
      <c r="K278" s="14">
        <f>IFERROR(VALUE(Raw_Data!K278),0)</f>
        <v>0.05</v>
      </c>
      <c r="L278" t="str">
        <f>PROPER(TRIM(Raw_Data!L278))</f>
        <v>Returned</v>
      </c>
      <c r="M278" s="13">
        <f t="shared" si="32"/>
        <v>3870</v>
      </c>
      <c r="N278" s="13">
        <f t="shared" si="33"/>
        <v>193.5</v>
      </c>
      <c r="O278" s="13">
        <f t="shared" si="34"/>
        <v>3676.5</v>
      </c>
      <c r="P278" s="13">
        <f t="shared" si="35"/>
        <v>2128.5</v>
      </c>
      <c r="Q278" s="13">
        <f t="shared" si="36"/>
        <v>1548</v>
      </c>
      <c r="R278" s="10">
        <f t="shared" si="37"/>
        <v>0.421052631578947</v>
      </c>
      <c r="S278" t="str">
        <f t="shared" si="38"/>
        <v>Jan-2026</v>
      </c>
      <c r="T278" t="str">
        <f t="shared" si="39"/>
        <v>OK</v>
      </c>
    </row>
    <row r="279" spans="1:20">
      <c r="A279" t="str">
        <f>TRIM(Raw_Data!A279)</f>
        <v>ORD-10278</v>
      </c>
      <c r="B279" s="12">
        <f>IFERROR(IF(ISNUMBER(Raw_Data!B279),Raw_Data!B279,DATEVALUE(Raw_Data!B279)),"")</f>
        <v>46199</v>
      </c>
      <c r="C279" t="str">
        <f>PROPER(TRIM(Raw_Data!C279))</f>
        <v>Priya</v>
      </c>
      <c r="D279" t="str">
        <f>IF(TRIM(Raw_Data!D279)="Bangalore","Bengaluru",IF(TRIM(Raw_Data!D279)="Mysore","Mysuru",IF(TRIM(Raw_Data!D279)="Cochin","Kochi",PROPER(TRIM(Raw_Data!D279)))))</f>
        <v>Chennai</v>
      </c>
      <c r="E279" t="str">
        <f>PROPER(TRIM(Raw_Data!E279))</f>
        <v>Retail Store</v>
      </c>
      <c r="F279" t="str">
        <f>PROPER(TRIM(Raw_Data!F279))</f>
        <v>Enterprise</v>
      </c>
      <c r="G279" t="str">
        <f>PROPER(TRIM(Raw_Data!G279))</f>
        <v>Headset</v>
      </c>
      <c r="H279" t="str">
        <f>PROPER(TRIM(Raw_Data!H279))</f>
        <v>Headset Office</v>
      </c>
      <c r="I279">
        <f>IFERROR(MAX(0,VALUE(Raw_Data!I279)),0)</f>
        <v>2</v>
      </c>
      <c r="J279" s="13">
        <f>IFERROR(VALUE(Raw_Data!J279),0)</f>
        <v>2367</v>
      </c>
      <c r="K279" s="14">
        <f>IFERROR(VALUE(Raw_Data!K279),0)</f>
        <v>0.1</v>
      </c>
      <c r="L279" t="str">
        <f>PROPER(TRIM(Raw_Data!L279))</f>
        <v>Delivered</v>
      </c>
      <c r="M279" s="13">
        <f t="shared" si="32"/>
        <v>4734</v>
      </c>
      <c r="N279" s="13">
        <f t="shared" si="33"/>
        <v>473.4</v>
      </c>
      <c r="O279" s="13">
        <f t="shared" si="34"/>
        <v>4260.6</v>
      </c>
      <c r="P279" s="13">
        <f t="shared" si="35"/>
        <v>2840.4</v>
      </c>
      <c r="Q279" s="13">
        <f t="shared" si="36"/>
        <v>1420.2</v>
      </c>
      <c r="R279" s="10">
        <f t="shared" si="37"/>
        <v>0.333333333333333</v>
      </c>
      <c r="S279" t="str">
        <f t="shared" si="38"/>
        <v>Jun-2026</v>
      </c>
      <c r="T279" t="str">
        <f t="shared" si="39"/>
        <v>OK</v>
      </c>
    </row>
    <row r="280" spans="1:20">
      <c r="A280" t="str">
        <f>TRIM(Raw_Data!A280)</f>
        <v>ORD-10279</v>
      </c>
      <c r="B280" s="12">
        <f>IFERROR(IF(ISNUMBER(Raw_Data!B280),Raw_Data!B280,DATEVALUE(Raw_Data!B280)),"")</f>
        <v>46129</v>
      </c>
      <c r="C280" t="str">
        <f>PROPER(TRIM(Raw_Data!C280))</f>
        <v>Arjun</v>
      </c>
      <c r="D280" t="str">
        <f>IF(TRIM(Raw_Data!D280)="Bangalore","Bengaluru",IF(TRIM(Raw_Data!D280)="Mysore","Mysuru",IF(TRIM(Raw_Data!D280)="Cochin","Kochi",PROPER(TRIM(Raw_Data!D280)))))</f>
        <v>Mysuru</v>
      </c>
      <c r="E280" t="str">
        <f>PROPER(TRIM(Raw_Data!E280))</f>
        <v>Corporate</v>
      </c>
      <c r="F280" t="str">
        <f>PROPER(TRIM(Raw_Data!F280))</f>
        <v>Smb</v>
      </c>
      <c r="G280" t="str">
        <f>PROPER(TRIM(Raw_Data!G280))</f>
        <v>Laptop</v>
      </c>
      <c r="H280" t="str">
        <f>PROPER(TRIM(Raw_Data!H280))</f>
        <v>Laptop Pro 14</v>
      </c>
      <c r="I280">
        <f>IFERROR(MAX(0,VALUE(Raw_Data!I280)),0)</f>
        <v>5</v>
      </c>
      <c r="J280" s="13">
        <f>IFERROR(VALUE(Raw_Data!J280),0)</f>
        <v>67368</v>
      </c>
      <c r="K280" s="14">
        <f>IFERROR(VALUE(Raw_Data!K280),0)</f>
        <v>0</v>
      </c>
      <c r="L280" t="str">
        <f>PROPER(TRIM(Raw_Data!L280))</f>
        <v>Returned</v>
      </c>
      <c r="M280" s="13">
        <f t="shared" si="32"/>
        <v>336840</v>
      </c>
      <c r="N280" s="13">
        <f t="shared" si="33"/>
        <v>0</v>
      </c>
      <c r="O280" s="13">
        <f t="shared" si="34"/>
        <v>336840</v>
      </c>
      <c r="P280" s="13">
        <f t="shared" si="35"/>
        <v>262735.2</v>
      </c>
      <c r="Q280" s="13">
        <f t="shared" si="36"/>
        <v>74104.8</v>
      </c>
      <c r="R280" s="10">
        <f t="shared" si="37"/>
        <v>0.22</v>
      </c>
      <c r="S280" t="str">
        <f t="shared" si="38"/>
        <v>Apr-2026</v>
      </c>
      <c r="T280" t="str">
        <f t="shared" si="39"/>
        <v>OK</v>
      </c>
    </row>
    <row r="281" spans="1:20">
      <c r="A281" t="str">
        <f>TRIM(Raw_Data!A281)</f>
        <v>ORD-10280</v>
      </c>
      <c r="B281" s="12">
        <f>IFERROR(IF(ISNUMBER(Raw_Data!B281),Raw_Data!B281,DATEVALUE(Raw_Data!B281)),"")</f>
        <v>46060</v>
      </c>
      <c r="C281" t="str">
        <f>PROPER(TRIM(Raw_Data!C281))</f>
        <v>Priya</v>
      </c>
      <c r="D281" t="str">
        <f>IF(TRIM(Raw_Data!D281)="Bangalore","Bengaluru",IF(TRIM(Raw_Data!D281)="Mysore","Mysuru",IF(TRIM(Raw_Data!D281)="Cochin","Kochi",PROPER(TRIM(Raw_Data!D281)))))</f>
        <v>Chennai</v>
      </c>
      <c r="E281" t="str">
        <f>PROPER(TRIM(Raw_Data!E281))</f>
        <v>Corporate</v>
      </c>
      <c r="F281" t="str">
        <f>PROPER(TRIM(Raw_Data!F281))</f>
        <v>Consumer</v>
      </c>
      <c r="G281" t="str">
        <f>PROPER(TRIM(Raw_Data!G281))</f>
        <v>Laptop</v>
      </c>
      <c r="H281" t="str">
        <f>PROPER(TRIM(Raw_Data!H281))</f>
        <v>Business Laptop 15</v>
      </c>
      <c r="I281">
        <f>IFERROR(MAX(0,VALUE(Raw_Data!I281)),0)</f>
        <v>7</v>
      </c>
      <c r="J281" s="13">
        <f>IFERROR(VALUE(Raw_Data!J281),0)</f>
        <v>50556</v>
      </c>
      <c r="K281" s="14">
        <f>IFERROR(VALUE(Raw_Data!K281),0)</f>
        <v>0</v>
      </c>
      <c r="L281" t="str">
        <f>PROPER(TRIM(Raw_Data!L281))</f>
        <v>Pending</v>
      </c>
      <c r="M281" s="13">
        <f t="shared" si="32"/>
        <v>353892</v>
      </c>
      <c r="N281" s="13">
        <f t="shared" si="33"/>
        <v>0</v>
      </c>
      <c r="O281" s="13">
        <f t="shared" si="34"/>
        <v>353892</v>
      </c>
      <c r="P281" s="13">
        <f t="shared" si="35"/>
        <v>276035.76</v>
      </c>
      <c r="Q281" s="13">
        <f t="shared" si="36"/>
        <v>77856.24</v>
      </c>
      <c r="R281" s="10">
        <f t="shared" si="37"/>
        <v>0.22</v>
      </c>
      <c r="S281" t="str">
        <f t="shared" si="38"/>
        <v>Feb-2026</v>
      </c>
      <c r="T281" t="str">
        <f t="shared" si="39"/>
        <v>OK</v>
      </c>
    </row>
    <row r="282" spans="1:20">
      <c r="A282" t="str">
        <f>TRIM(Raw_Data!A282)</f>
        <v>ORD-10281</v>
      </c>
      <c r="B282" s="12">
        <f>IFERROR(IF(ISNUMBER(Raw_Data!B282),Raw_Data!B282,DATEVALUE(Raw_Data!B282)),"")</f>
        <v>46234</v>
      </c>
      <c r="C282" t="str">
        <f>PROPER(TRIM(Raw_Data!C282))</f>
        <v>Kiran</v>
      </c>
      <c r="D282" t="str">
        <f>IF(TRIM(Raw_Data!D282)="Bangalore","Bengaluru",IF(TRIM(Raw_Data!D282)="Mysore","Mysuru",IF(TRIM(Raw_Data!D282)="Cochin","Kochi",PROPER(TRIM(Raw_Data!D282)))))</f>
        <v>Hyderabad</v>
      </c>
      <c r="E282" t="str">
        <f>PROPER(TRIM(Raw_Data!E282))</f>
        <v>Online</v>
      </c>
      <c r="F282" t="str">
        <f>PROPER(TRIM(Raw_Data!F282))</f>
        <v>Enterprise</v>
      </c>
      <c r="G282" t="str">
        <f>PROPER(TRIM(Raw_Data!G282))</f>
        <v>Keyboard</v>
      </c>
      <c r="H282" t="str">
        <f>PROPER(TRIM(Raw_Data!H282))</f>
        <v>Keyboard Office</v>
      </c>
      <c r="I282">
        <f>IFERROR(MAX(0,VALUE(Raw_Data!I282)),0)</f>
        <v>8</v>
      </c>
      <c r="J282" s="13">
        <f>IFERROR(VALUE(Raw_Data!J282),0)</f>
        <v>2880</v>
      </c>
      <c r="K282" s="14">
        <f>IFERROR(VALUE(Raw_Data!K282),0)</f>
        <v>0.15</v>
      </c>
      <c r="L282" t="str">
        <f>PROPER(TRIM(Raw_Data!L282))</f>
        <v>Delivered</v>
      </c>
      <c r="M282" s="13">
        <f t="shared" si="32"/>
        <v>23040</v>
      </c>
      <c r="N282" s="13">
        <f t="shared" si="33"/>
        <v>3456</v>
      </c>
      <c r="O282" s="13">
        <f t="shared" si="34"/>
        <v>19584</v>
      </c>
      <c r="P282" s="13">
        <f t="shared" si="35"/>
        <v>13363.2</v>
      </c>
      <c r="Q282" s="13">
        <f t="shared" si="36"/>
        <v>6220.8</v>
      </c>
      <c r="R282" s="10">
        <f t="shared" si="37"/>
        <v>0.317647058823529</v>
      </c>
      <c r="S282" t="str">
        <f t="shared" si="38"/>
        <v>Jul-2026</v>
      </c>
      <c r="T282" t="str">
        <f t="shared" si="39"/>
        <v>OK</v>
      </c>
    </row>
    <row r="283" spans="1:20">
      <c r="A283" t="str">
        <f>TRIM(Raw_Data!A283)</f>
        <v>ORD-10282</v>
      </c>
      <c r="B283" s="12">
        <f>IFERROR(IF(ISNUMBER(Raw_Data!B283),Raw_Data!B283,DATEVALUE(Raw_Data!B283)),"")</f>
        <v>46028</v>
      </c>
      <c r="C283" t="str">
        <f>PROPER(TRIM(Raw_Data!C283))</f>
        <v>Arjun</v>
      </c>
      <c r="D283" t="str">
        <f>IF(TRIM(Raw_Data!D283)="Bangalore","Bengaluru",IF(TRIM(Raw_Data!D283)="Mysore","Mysuru",IF(TRIM(Raw_Data!D283)="Cochin","Kochi",PROPER(TRIM(Raw_Data!D283)))))</f>
        <v>Mumbai</v>
      </c>
      <c r="E283" t="str">
        <f>PROPER(TRIM(Raw_Data!E283))</f>
        <v>Online</v>
      </c>
      <c r="F283" t="str">
        <f>PROPER(TRIM(Raw_Data!F283))</f>
        <v>Consumer</v>
      </c>
      <c r="G283" t="str">
        <f>PROPER(TRIM(Raw_Data!G283))</f>
        <v>Laptop</v>
      </c>
      <c r="H283" t="str">
        <f>PROPER(TRIM(Raw_Data!H283))</f>
        <v>Business Laptop 15</v>
      </c>
      <c r="I283">
        <f>IFERROR(MAX(0,VALUE(Raw_Data!I283)),0)</f>
        <v>1</v>
      </c>
      <c r="J283" s="13">
        <f>IFERROR(VALUE(Raw_Data!J283),0)</f>
        <v>60816</v>
      </c>
      <c r="K283" s="14">
        <f>IFERROR(VALUE(Raw_Data!K283),0)</f>
        <v>0.05</v>
      </c>
      <c r="L283" t="str">
        <f>PROPER(TRIM(Raw_Data!L283))</f>
        <v>Delivered</v>
      </c>
      <c r="M283" s="13">
        <f t="shared" si="32"/>
        <v>60816</v>
      </c>
      <c r="N283" s="13">
        <f t="shared" si="33"/>
        <v>3040.8</v>
      </c>
      <c r="O283" s="13">
        <f t="shared" si="34"/>
        <v>57775.2</v>
      </c>
      <c r="P283" s="13">
        <f t="shared" si="35"/>
        <v>47436.48</v>
      </c>
      <c r="Q283" s="13">
        <f t="shared" si="36"/>
        <v>10338.72</v>
      </c>
      <c r="R283" s="10">
        <f t="shared" si="37"/>
        <v>0.178947368421053</v>
      </c>
      <c r="S283" t="str">
        <f t="shared" si="38"/>
        <v>Jan-2026</v>
      </c>
      <c r="T283" t="str">
        <f t="shared" si="39"/>
        <v>OK</v>
      </c>
    </row>
    <row r="284" spans="1:20">
      <c r="A284" t="str">
        <f>TRIM(Raw_Data!A284)</f>
        <v>ORD-10283</v>
      </c>
      <c r="B284" s="12">
        <f>IFERROR(IF(ISNUMBER(Raw_Data!B284),Raw_Data!B284,DATEVALUE(Raw_Data!B284)),"")</f>
        <v>46239</v>
      </c>
      <c r="C284" t="str">
        <f>PROPER(TRIM(Raw_Data!C284))</f>
        <v>Meghana</v>
      </c>
      <c r="D284" t="str">
        <f>IF(TRIM(Raw_Data!D284)="Bangalore","Bengaluru",IF(TRIM(Raw_Data!D284)="Mysore","Mysuru",IF(TRIM(Raw_Data!D284)="Cochin","Kochi",PROPER(TRIM(Raw_Data!D284)))))</f>
        <v>Delhi</v>
      </c>
      <c r="E284" t="str">
        <f>PROPER(TRIM(Raw_Data!E284))</f>
        <v>Online</v>
      </c>
      <c r="F284" t="str">
        <f>PROPER(TRIM(Raw_Data!F284))</f>
        <v>Enterprise</v>
      </c>
      <c r="G284" t="str">
        <f>PROPER(TRIM(Raw_Data!G284))</f>
        <v>Headset</v>
      </c>
      <c r="H284" t="str">
        <f>PROPER(TRIM(Raw_Data!H284))</f>
        <v>Headset Pro</v>
      </c>
      <c r="I284">
        <f>IFERROR(MAX(0,VALUE(Raw_Data!I284)),0)</f>
        <v>4</v>
      </c>
      <c r="J284" s="13">
        <f>IFERROR(VALUE(Raw_Data!J284),0)</f>
        <v>5757</v>
      </c>
      <c r="K284" s="14">
        <f>IFERROR(VALUE(Raw_Data!K284),0)</f>
        <v>0</v>
      </c>
      <c r="L284" t="str">
        <f>PROPER(TRIM(Raw_Data!L284))</f>
        <v>Delivered</v>
      </c>
      <c r="M284" s="13">
        <f t="shared" si="32"/>
        <v>23028</v>
      </c>
      <c r="N284" s="13">
        <f t="shared" si="33"/>
        <v>0</v>
      </c>
      <c r="O284" s="13">
        <f t="shared" si="34"/>
        <v>23028</v>
      </c>
      <c r="P284" s="13">
        <f t="shared" si="35"/>
        <v>13816.8</v>
      </c>
      <c r="Q284" s="13">
        <f t="shared" si="36"/>
        <v>9211.2</v>
      </c>
      <c r="R284" s="10">
        <f t="shared" si="37"/>
        <v>0.4</v>
      </c>
      <c r="S284" t="str">
        <f t="shared" si="38"/>
        <v>Aug-2026</v>
      </c>
      <c r="T284" t="str">
        <f t="shared" si="39"/>
        <v>OK</v>
      </c>
    </row>
    <row r="285" spans="1:20">
      <c r="A285" t="str">
        <f>TRIM(Raw_Data!A285)</f>
        <v>ORD-10284</v>
      </c>
      <c r="B285" s="12">
        <f>IFERROR(IF(ISNUMBER(Raw_Data!B285),Raw_Data!B285,DATEVALUE(Raw_Data!B285)),"")</f>
        <v>46166</v>
      </c>
      <c r="C285" t="str">
        <f>PROPER(TRIM(Raw_Data!C285))</f>
        <v>Priya</v>
      </c>
      <c r="D285" t="str">
        <f>IF(TRIM(Raw_Data!D285)="Bangalore","Bengaluru",IF(TRIM(Raw_Data!D285)="Mysore","Mysuru",IF(TRIM(Raw_Data!D285)="Cochin","Kochi",PROPER(TRIM(Raw_Data!D285)))))</f>
        <v>Mumbai</v>
      </c>
      <c r="E285" t="str">
        <f>PROPER(TRIM(Raw_Data!E285))</f>
        <v>Retail Store</v>
      </c>
      <c r="F285" t="str">
        <f>PROPER(TRIM(Raw_Data!F285))</f>
        <v>Consumer</v>
      </c>
      <c r="G285" t="str">
        <f>PROPER(TRIM(Raw_Data!G285))</f>
        <v>Headset</v>
      </c>
      <c r="H285" t="str">
        <f>PROPER(TRIM(Raw_Data!H285))</f>
        <v>Headset Wireless</v>
      </c>
      <c r="I285">
        <f>IFERROR(MAX(0,VALUE(Raw_Data!I285)),0)</f>
        <v>8</v>
      </c>
      <c r="J285" s="13">
        <f>IFERROR(VALUE(Raw_Data!J285),0)</f>
        <v>7144</v>
      </c>
      <c r="K285" s="14">
        <f>IFERROR(VALUE(Raw_Data!K285),0)</f>
        <v>0.15</v>
      </c>
      <c r="L285" t="str">
        <f>PROPER(TRIM(Raw_Data!L285))</f>
        <v>Pending</v>
      </c>
      <c r="M285" s="13">
        <f t="shared" si="32"/>
        <v>57152</v>
      </c>
      <c r="N285" s="13">
        <f t="shared" si="33"/>
        <v>8572.8</v>
      </c>
      <c r="O285" s="13">
        <f t="shared" si="34"/>
        <v>48579.2</v>
      </c>
      <c r="P285" s="13">
        <f t="shared" si="35"/>
        <v>34291.2</v>
      </c>
      <c r="Q285" s="13">
        <f t="shared" si="36"/>
        <v>14288</v>
      </c>
      <c r="R285" s="10">
        <f t="shared" si="37"/>
        <v>0.294117647058824</v>
      </c>
      <c r="S285" t="str">
        <f t="shared" si="38"/>
        <v>May-2026</v>
      </c>
      <c r="T285" t="str">
        <f t="shared" si="39"/>
        <v>OK</v>
      </c>
    </row>
    <row r="286" spans="1:20">
      <c r="A286" t="str">
        <f>TRIM(Raw_Data!A286)</f>
        <v>ORD-10285</v>
      </c>
      <c r="B286" s="12">
        <f>IFERROR(IF(ISNUMBER(Raw_Data!B286),Raw_Data!B286,DATEVALUE(Raw_Data!B286)),"")</f>
        <v>46241</v>
      </c>
      <c r="C286" t="str">
        <f>PROPER(TRIM(Raw_Data!C286))</f>
        <v>Arjun</v>
      </c>
      <c r="D286" t="str">
        <f>IF(TRIM(Raw_Data!D286)="Bangalore","Bengaluru",IF(TRIM(Raw_Data!D286)="Mysore","Mysuru",IF(TRIM(Raw_Data!D286)="Cochin","Kochi",PROPER(TRIM(Raw_Data!D286)))))</f>
        <v>Chennai</v>
      </c>
      <c r="E286" t="str">
        <f>PROPER(TRIM(Raw_Data!E286))</f>
        <v>Online</v>
      </c>
      <c r="F286" t="str">
        <f>PROPER(TRIM(Raw_Data!F286))</f>
        <v>Consumer</v>
      </c>
      <c r="G286" t="str">
        <f>PROPER(TRIM(Raw_Data!G286))</f>
        <v>Mouse</v>
      </c>
      <c r="H286" t="str">
        <f>PROPER(TRIM(Raw_Data!H286))</f>
        <v>Mouse Wireless</v>
      </c>
      <c r="I286">
        <f>IFERROR(MAX(0,VALUE(Raw_Data!I286)),0)</f>
        <v>3</v>
      </c>
      <c r="J286" s="13">
        <f>IFERROR(VALUE(Raw_Data!J286),0)</f>
        <v>864</v>
      </c>
      <c r="K286" s="14">
        <f>IFERROR(VALUE(Raw_Data!K286),0)</f>
        <v>0</v>
      </c>
      <c r="L286" t="str">
        <f>PROPER(TRIM(Raw_Data!L286))</f>
        <v>Delivered</v>
      </c>
      <c r="M286" s="13">
        <f t="shared" si="32"/>
        <v>2592</v>
      </c>
      <c r="N286" s="13">
        <f t="shared" si="33"/>
        <v>0</v>
      </c>
      <c r="O286" s="13">
        <f t="shared" si="34"/>
        <v>2592</v>
      </c>
      <c r="P286" s="13">
        <f t="shared" si="35"/>
        <v>1425.6</v>
      </c>
      <c r="Q286" s="13">
        <f t="shared" si="36"/>
        <v>1166.4</v>
      </c>
      <c r="R286" s="10">
        <f t="shared" si="37"/>
        <v>0.45</v>
      </c>
      <c r="S286" t="str">
        <f t="shared" si="38"/>
        <v>Aug-2026</v>
      </c>
      <c r="T286" t="str">
        <f t="shared" si="39"/>
        <v>OK</v>
      </c>
    </row>
    <row r="287" spans="1:20">
      <c r="A287" t="str">
        <f>TRIM(Raw_Data!A287)</f>
        <v>ORD-10286</v>
      </c>
      <c r="B287" s="12">
        <f>IFERROR(IF(ISNUMBER(Raw_Data!B287),Raw_Data!B287,DATEVALUE(Raw_Data!B287)),"")</f>
        <v>46129</v>
      </c>
      <c r="C287" t="str">
        <f>PROPER(TRIM(Raw_Data!C287))</f>
        <v>Neha</v>
      </c>
      <c r="D287" t="str">
        <f>IF(TRIM(Raw_Data!D287)="Bangalore","Bengaluru",IF(TRIM(Raw_Data!D287)="Mysore","Mysuru",IF(TRIM(Raw_Data!D287)="Cochin","Kochi",PROPER(TRIM(Raw_Data!D287)))))</f>
        <v>Mumbai</v>
      </c>
      <c r="E287" t="str">
        <f>PROPER(TRIM(Raw_Data!E287))</f>
        <v>Corporate</v>
      </c>
      <c r="F287" t="str">
        <f>PROPER(TRIM(Raw_Data!F287))</f>
        <v>Consumer</v>
      </c>
      <c r="G287" t="str">
        <f>PROPER(TRIM(Raw_Data!G287))</f>
        <v>Mouse</v>
      </c>
      <c r="H287" t="str">
        <f>PROPER(TRIM(Raw_Data!H287))</f>
        <v>Mouse Basic</v>
      </c>
      <c r="I287">
        <f>IFERROR(MAX(0,VALUE(Raw_Data!I287)),0)</f>
        <v>3</v>
      </c>
      <c r="J287" s="13">
        <f>IFERROR(VALUE(Raw_Data!J287),0)</f>
        <v>2245</v>
      </c>
      <c r="K287" s="14">
        <f>IFERROR(VALUE(Raw_Data!K287),0)</f>
        <v>0.02</v>
      </c>
      <c r="L287" t="str">
        <f>PROPER(TRIM(Raw_Data!L287))</f>
        <v>Cancelled</v>
      </c>
      <c r="M287" s="13">
        <f t="shared" si="32"/>
        <v>6735</v>
      </c>
      <c r="N287" s="13">
        <f t="shared" si="33"/>
        <v>134.7</v>
      </c>
      <c r="O287" s="13">
        <f t="shared" si="34"/>
        <v>6600.3</v>
      </c>
      <c r="P287" s="13">
        <f t="shared" si="35"/>
        <v>3704.25</v>
      </c>
      <c r="Q287" s="13">
        <f t="shared" si="36"/>
        <v>2896.05</v>
      </c>
      <c r="R287" s="10">
        <f t="shared" si="37"/>
        <v>0.438775510204082</v>
      </c>
      <c r="S287" t="str">
        <f t="shared" si="38"/>
        <v>Apr-2026</v>
      </c>
      <c r="T287" t="str">
        <f t="shared" si="39"/>
        <v>OK</v>
      </c>
    </row>
    <row r="288" spans="1:20">
      <c r="A288" t="str">
        <f>TRIM(Raw_Data!A288)</f>
        <v>ORD-10287</v>
      </c>
      <c r="B288" s="12" t="str">
        <f>IFERROR(IF(ISNUMBER(Raw_Data!B288),Raw_Data!B288,DATEVALUE(Raw_Data!B288)),"")</f>
        <v/>
      </c>
      <c r="C288" t="str">
        <f>PROPER(TRIM(Raw_Data!C288))</f>
        <v>Asha</v>
      </c>
      <c r="D288" t="str">
        <f>IF(TRIM(Raw_Data!D288)="Bangalore","Bengaluru",IF(TRIM(Raw_Data!D288)="Mysore","Mysuru",IF(TRIM(Raw_Data!D288)="Cochin","Kochi",PROPER(TRIM(Raw_Data!D288)))))</f>
        <v>Bengaluru</v>
      </c>
      <c r="E288" t="str">
        <f>PROPER(TRIM(Raw_Data!E288))</f>
        <v>Retail Store</v>
      </c>
      <c r="F288" t="str">
        <f>PROPER(TRIM(Raw_Data!F288))</f>
        <v>Smb</v>
      </c>
      <c r="G288" t="str">
        <f>PROPER(TRIM(Raw_Data!G288))</f>
        <v>Monitor</v>
      </c>
      <c r="H288" t="str">
        <f>PROPER(TRIM(Raw_Data!H288))</f>
        <v>Monitor 32</v>
      </c>
      <c r="I288">
        <f>IFERROR(MAX(0,VALUE(Raw_Data!I288)),0)</f>
        <v>2</v>
      </c>
      <c r="J288" s="13">
        <f>IFERROR(VALUE(Raw_Data!J288),0)</f>
        <v>19120</v>
      </c>
      <c r="K288" s="14">
        <f>IFERROR(VALUE(Raw_Data!K288),0)</f>
        <v>0.02</v>
      </c>
      <c r="L288" t="str">
        <f>PROPER(TRIM(Raw_Data!L288))</f>
        <v>Cancelled</v>
      </c>
      <c r="M288" s="13">
        <f t="shared" si="32"/>
        <v>38240</v>
      </c>
      <c r="N288" s="13">
        <f t="shared" si="33"/>
        <v>764.8</v>
      </c>
      <c r="O288" s="13">
        <f t="shared" si="34"/>
        <v>37475.2</v>
      </c>
      <c r="P288" s="13">
        <f t="shared" si="35"/>
        <v>26768</v>
      </c>
      <c r="Q288" s="13">
        <f t="shared" si="36"/>
        <v>10707.2</v>
      </c>
      <c r="R288" s="10">
        <f t="shared" si="37"/>
        <v>0.285714285714286</v>
      </c>
      <c r="S288" t="str">
        <f t="shared" si="38"/>
        <v/>
      </c>
      <c r="T288" t="str">
        <f t="shared" si="39"/>
        <v>CHECK</v>
      </c>
    </row>
    <row r="289" spans="1:20">
      <c r="A289" t="str">
        <f>TRIM(Raw_Data!A289)</f>
        <v>ORD-10288</v>
      </c>
      <c r="B289" s="12">
        <f>IFERROR(IF(ISNUMBER(Raw_Data!B289),Raw_Data!B289,DATEVALUE(Raw_Data!B289)),"")</f>
        <v>46229</v>
      </c>
      <c r="C289" t="str">
        <f>PROPER(TRIM(Raw_Data!C289))</f>
        <v>Arjun</v>
      </c>
      <c r="D289" t="str">
        <f>IF(TRIM(Raw_Data!D289)="Bangalore","Bengaluru",IF(TRIM(Raw_Data!D289)="Mysore","Mysuru",IF(TRIM(Raw_Data!D289)="Cochin","Kochi",PROPER(TRIM(Raw_Data!D289)))))</f>
        <v>Delhi</v>
      </c>
      <c r="E289" t="str">
        <f>PROPER(TRIM(Raw_Data!E289))</f>
        <v>Online</v>
      </c>
      <c r="F289" t="str">
        <f>PROPER(TRIM(Raw_Data!F289))</f>
        <v>Enterprise</v>
      </c>
      <c r="G289" t="str">
        <f>PROPER(TRIM(Raw_Data!G289))</f>
        <v>Headset</v>
      </c>
      <c r="H289" t="str">
        <f>PROPER(TRIM(Raw_Data!H289))</f>
        <v>Headset Office</v>
      </c>
      <c r="I289">
        <f>IFERROR(MAX(0,VALUE(Raw_Data!I289)),0)</f>
        <v>7</v>
      </c>
      <c r="J289" s="13">
        <f>IFERROR(VALUE(Raw_Data!J289),0)</f>
        <v>4284</v>
      </c>
      <c r="K289" s="14">
        <f>IFERROR(VALUE(Raw_Data!K289),0)</f>
        <v>0.02</v>
      </c>
      <c r="L289" t="str">
        <f>PROPER(TRIM(Raw_Data!L289))</f>
        <v>Pending</v>
      </c>
      <c r="M289" s="13">
        <f t="shared" si="32"/>
        <v>29988</v>
      </c>
      <c r="N289" s="13">
        <f t="shared" si="33"/>
        <v>599.76</v>
      </c>
      <c r="O289" s="13">
        <f t="shared" si="34"/>
        <v>29388.24</v>
      </c>
      <c r="P289" s="13">
        <f t="shared" si="35"/>
        <v>17992.8</v>
      </c>
      <c r="Q289" s="13">
        <f t="shared" si="36"/>
        <v>11395.44</v>
      </c>
      <c r="R289" s="10">
        <f t="shared" si="37"/>
        <v>0.387755102040816</v>
      </c>
      <c r="S289" t="str">
        <f t="shared" si="38"/>
        <v>Jul-2026</v>
      </c>
      <c r="T289" t="str">
        <f t="shared" si="39"/>
        <v>OK</v>
      </c>
    </row>
    <row r="290" spans="1:20">
      <c r="A290" t="str">
        <f>TRIM(Raw_Data!A290)</f>
        <v>ORD-10289</v>
      </c>
      <c r="B290" s="12">
        <f>IFERROR(IF(ISNUMBER(Raw_Data!B290),Raw_Data!B290,DATEVALUE(Raw_Data!B290)),"")</f>
        <v>46205</v>
      </c>
      <c r="C290" t="str">
        <f>PROPER(TRIM(Raw_Data!C290))</f>
        <v>Meghana</v>
      </c>
      <c r="D290" t="str">
        <f>IF(TRIM(Raw_Data!D290)="Bangalore","Bengaluru",IF(TRIM(Raw_Data!D290)="Mysore","Mysuru",IF(TRIM(Raw_Data!D290)="Cochin","Kochi",PROPER(TRIM(Raw_Data!D290)))))</f>
        <v>Kochi</v>
      </c>
      <c r="E290" t="str">
        <f>PROPER(TRIM(Raw_Data!E290))</f>
        <v>Retail Store</v>
      </c>
      <c r="F290" t="str">
        <f>PROPER(TRIM(Raw_Data!F290))</f>
        <v>Consumer</v>
      </c>
      <c r="G290" t="str">
        <f>PROPER(TRIM(Raw_Data!G290))</f>
        <v>Laptop</v>
      </c>
      <c r="H290" t="str">
        <f>PROPER(TRIM(Raw_Data!H290))</f>
        <v>Laptop Air 13</v>
      </c>
      <c r="I290">
        <f>IFERROR(MAX(0,VALUE(Raw_Data!I290)),0)</f>
        <v>5</v>
      </c>
      <c r="J290" s="13">
        <f>IFERROR(VALUE(Raw_Data!J290),0)</f>
        <v>51471</v>
      </c>
      <c r="K290" s="14">
        <f>IFERROR(VALUE(Raw_Data!K290),0)</f>
        <v>0.08</v>
      </c>
      <c r="L290" t="str">
        <f>PROPER(TRIM(Raw_Data!L290))</f>
        <v>Delivered</v>
      </c>
      <c r="M290" s="13">
        <f t="shared" si="32"/>
        <v>257355</v>
      </c>
      <c r="N290" s="13">
        <f t="shared" si="33"/>
        <v>20588.4</v>
      </c>
      <c r="O290" s="13">
        <f t="shared" si="34"/>
        <v>236766.6</v>
      </c>
      <c r="P290" s="13">
        <f t="shared" si="35"/>
        <v>200736.9</v>
      </c>
      <c r="Q290" s="13">
        <f t="shared" si="36"/>
        <v>36029.7</v>
      </c>
      <c r="R290" s="10">
        <f t="shared" si="37"/>
        <v>0.152173913043478</v>
      </c>
      <c r="S290" t="str">
        <f t="shared" si="38"/>
        <v>Jul-2026</v>
      </c>
      <c r="T290" t="str">
        <f t="shared" si="39"/>
        <v>OK</v>
      </c>
    </row>
    <row r="291" spans="1:20">
      <c r="A291" t="str">
        <f>TRIM(Raw_Data!A291)</f>
        <v>ORD-10290</v>
      </c>
      <c r="B291" s="12">
        <f>IFERROR(IF(ISNUMBER(Raw_Data!B291),Raw_Data!B291,DATEVALUE(Raw_Data!B291)),"")</f>
        <v>46027</v>
      </c>
      <c r="C291" t="str">
        <f>PROPER(TRIM(Raw_Data!C291))</f>
        <v>Meghana</v>
      </c>
      <c r="D291" t="str">
        <f>IF(TRIM(Raw_Data!D291)="Bangalore","Bengaluru",IF(TRIM(Raw_Data!D291)="Mysore","Mysuru",IF(TRIM(Raw_Data!D291)="Cochin","Kochi",PROPER(TRIM(Raw_Data!D291)))))</f>
        <v>Chennai</v>
      </c>
      <c r="E291" t="str">
        <f>PROPER(TRIM(Raw_Data!E291))</f>
        <v>Corporate</v>
      </c>
      <c r="F291" t="str">
        <f>PROPER(TRIM(Raw_Data!F291))</f>
        <v>Smb</v>
      </c>
      <c r="G291" t="str">
        <f>PROPER(TRIM(Raw_Data!G291))</f>
        <v>Keyboard</v>
      </c>
      <c r="H291" t="str">
        <f>PROPER(TRIM(Raw_Data!H291))</f>
        <v>Keyboard Office</v>
      </c>
      <c r="I291">
        <f>IFERROR(MAX(0,VALUE(Raw_Data!I291)),0)</f>
        <v>7</v>
      </c>
      <c r="J291" s="13">
        <f>IFERROR(VALUE(Raw_Data!J291),0)</f>
        <v>2228</v>
      </c>
      <c r="K291" s="14">
        <f>IFERROR(VALUE(Raw_Data!K291),0)</f>
        <v>0.08</v>
      </c>
      <c r="L291" t="str">
        <f>PROPER(TRIM(Raw_Data!L291))</f>
        <v>Delivered</v>
      </c>
      <c r="M291" s="13">
        <f t="shared" si="32"/>
        <v>15596</v>
      </c>
      <c r="N291" s="13">
        <f t="shared" si="33"/>
        <v>1247.68</v>
      </c>
      <c r="O291" s="13">
        <f t="shared" si="34"/>
        <v>14348.32</v>
      </c>
      <c r="P291" s="13">
        <f t="shared" si="35"/>
        <v>9045.68</v>
      </c>
      <c r="Q291" s="13">
        <f t="shared" si="36"/>
        <v>5302.64</v>
      </c>
      <c r="R291" s="10">
        <f t="shared" si="37"/>
        <v>0.369565217391304</v>
      </c>
      <c r="S291" t="str">
        <f t="shared" si="38"/>
        <v>Jan-2026</v>
      </c>
      <c r="T291" t="str">
        <f t="shared" si="39"/>
        <v>OK</v>
      </c>
    </row>
    <row r="292" spans="1:20">
      <c r="A292" t="str">
        <f>TRIM(Raw_Data!A292)</f>
        <v>ORD-10291</v>
      </c>
      <c r="B292" s="12">
        <f>IFERROR(IF(ISNUMBER(Raw_Data!B292),Raw_Data!B292,DATEVALUE(Raw_Data!B292)),"")</f>
        <v>46065</v>
      </c>
      <c r="C292" t="str">
        <f>PROPER(TRIM(Raw_Data!C292))</f>
        <v>Priya</v>
      </c>
      <c r="D292" t="str">
        <f>IF(TRIM(Raw_Data!D292)="Bangalore","Bengaluru",IF(TRIM(Raw_Data!D292)="Mysore","Mysuru",IF(TRIM(Raw_Data!D292)="Cochin","Kochi",PROPER(TRIM(Raw_Data!D292)))))</f>
        <v>Mysuru</v>
      </c>
      <c r="E292" t="str">
        <f>PROPER(TRIM(Raw_Data!E292))</f>
        <v>Retail Store</v>
      </c>
      <c r="F292" t="str">
        <f>PROPER(TRIM(Raw_Data!F292))</f>
        <v>Consumer</v>
      </c>
      <c r="G292" t="str">
        <f>PROPER(TRIM(Raw_Data!G292))</f>
        <v>Laptop</v>
      </c>
      <c r="H292" t="str">
        <f>PROPER(TRIM(Raw_Data!H292))</f>
        <v>Laptop Pro 14</v>
      </c>
      <c r="I292">
        <f>IFERROR(MAX(0,VALUE(Raw_Data!I292)),0)</f>
        <v>4</v>
      </c>
      <c r="J292" s="13">
        <f>IFERROR(VALUE(Raw_Data!J292),0)</f>
        <v>62911</v>
      </c>
      <c r="K292" s="14">
        <f>IFERROR(VALUE(Raw_Data!K292),0)</f>
        <v>0.1</v>
      </c>
      <c r="L292" t="str">
        <f>PROPER(TRIM(Raw_Data!L292))</f>
        <v>Cancelled</v>
      </c>
      <c r="M292" s="13">
        <f t="shared" si="32"/>
        <v>251644</v>
      </c>
      <c r="N292" s="13">
        <f t="shared" si="33"/>
        <v>25164.4</v>
      </c>
      <c r="O292" s="13">
        <f t="shared" si="34"/>
        <v>226479.6</v>
      </c>
      <c r="P292" s="13">
        <f t="shared" si="35"/>
        <v>196282.32</v>
      </c>
      <c r="Q292" s="13">
        <f t="shared" si="36"/>
        <v>30197.28</v>
      </c>
      <c r="R292" s="10">
        <f t="shared" si="37"/>
        <v>0.133333333333333</v>
      </c>
      <c r="S292" t="str">
        <f t="shared" si="38"/>
        <v>Feb-2026</v>
      </c>
      <c r="T292" t="str">
        <f t="shared" si="39"/>
        <v>OK</v>
      </c>
    </row>
    <row r="293" spans="1:20">
      <c r="A293" t="str">
        <f>TRIM(Raw_Data!A293)</f>
        <v>ORD-10292</v>
      </c>
      <c r="B293" s="12">
        <f>IFERROR(IF(ISNUMBER(Raw_Data!B293),Raw_Data!B293,DATEVALUE(Raw_Data!B293)),"")</f>
        <v>46265</v>
      </c>
      <c r="C293" t="str">
        <f>PROPER(TRIM(Raw_Data!C293))</f>
        <v>Arjun</v>
      </c>
      <c r="D293" t="str">
        <f>IF(TRIM(Raw_Data!D293)="Bangalore","Bengaluru",IF(TRIM(Raw_Data!D293)="Mysore","Mysuru",IF(TRIM(Raw_Data!D293)="Cochin","Kochi",PROPER(TRIM(Raw_Data!D293)))))</f>
        <v>Mumbai</v>
      </c>
      <c r="E293" t="str">
        <f>PROPER(TRIM(Raw_Data!E293))</f>
        <v>Corporate</v>
      </c>
      <c r="F293" t="str">
        <f>PROPER(TRIM(Raw_Data!F293))</f>
        <v>Consumer</v>
      </c>
      <c r="G293" t="str">
        <f>PROPER(TRIM(Raw_Data!G293))</f>
        <v>Keyboard</v>
      </c>
      <c r="H293" t="str">
        <f>PROPER(TRIM(Raw_Data!H293))</f>
        <v>Keyboard Office</v>
      </c>
      <c r="I293">
        <f>IFERROR(MAX(0,VALUE(Raw_Data!I293)),0)</f>
        <v>6</v>
      </c>
      <c r="J293" s="13">
        <f>IFERROR(VALUE(Raw_Data!J293),0)</f>
        <v>3214</v>
      </c>
      <c r="K293" s="14">
        <f>IFERROR(VALUE(Raw_Data!K293),0)</f>
        <v>0.02</v>
      </c>
      <c r="L293" t="str">
        <f>PROPER(TRIM(Raw_Data!L293))</f>
        <v>Pending</v>
      </c>
      <c r="M293" s="13">
        <f t="shared" si="32"/>
        <v>19284</v>
      </c>
      <c r="N293" s="13">
        <f t="shared" si="33"/>
        <v>385.68</v>
      </c>
      <c r="O293" s="13">
        <f t="shared" si="34"/>
        <v>18898.32</v>
      </c>
      <c r="P293" s="13">
        <f t="shared" si="35"/>
        <v>11184.72</v>
      </c>
      <c r="Q293" s="13">
        <f t="shared" si="36"/>
        <v>7713.6</v>
      </c>
      <c r="R293" s="10">
        <f t="shared" si="37"/>
        <v>0.408163265306122</v>
      </c>
      <c r="S293" t="str">
        <f t="shared" si="38"/>
        <v>Aug-2026</v>
      </c>
      <c r="T293" t="str">
        <f t="shared" si="39"/>
        <v>OK</v>
      </c>
    </row>
    <row r="294" spans="1:20">
      <c r="A294" t="str">
        <f>TRIM(Raw_Data!A294)</f>
        <v>ORD-10293</v>
      </c>
      <c r="B294" s="12">
        <f>IFERROR(IF(ISNUMBER(Raw_Data!B294),Raw_Data!B294,DATEVALUE(Raw_Data!B294)),"")</f>
        <v>46189</v>
      </c>
      <c r="C294" t="str">
        <f>PROPER(TRIM(Raw_Data!C294))</f>
        <v>Asha</v>
      </c>
      <c r="D294" t="str">
        <f>IF(TRIM(Raw_Data!D294)="Bangalore","Bengaluru",IF(TRIM(Raw_Data!D294)="Mysore","Mysuru",IF(TRIM(Raw_Data!D294)="Cochin","Kochi",PROPER(TRIM(Raw_Data!D294)))))</f>
        <v>Bengaluru</v>
      </c>
      <c r="E294" t="str">
        <f>PROPER(TRIM(Raw_Data!E294))</f>
        <v>Online</v>
      </c>
      <c r="F294" t="str">
        <f>PROPER(TRIM(Raw_Data!F294))</f>
        <v>Smb</v>
      </c>
      <c r="G294" t="str">
        <f>PROPER(TRIM(Raw_Data!G294))</f>
        <v>Laptop</v>
      </c>
      <c r="H294" t="str">
        <f>PROPER(TRIM(Raw_Data!H294))</f>
        <v>Business Laptop 15</v>
      </c>
      <c r="I294">
        <f>IFERROR(MAX(0,VALUE(Raw_Data!I294)),0)</f>
        <v>6</v>
      </c>
      <c r="J294" s="13">
        <f>IFERROR(VALUE(Raw_Data!J294),0)</f>
        <v>74175</v>
      </c>
      <c r="K294" s="14">
        <f>IFERROR(VALUE(Raw_Data!K294),0)</f>
        <v>0.08</v>
      </c>
      <c r="L294" t="str">
        <f>PROPER(TRIM(Raw_Data!L294))</f>
        <v>Delivered</v>
      </c>
      <c r="M294" s="13">
        <f t="shared" si="32"/>
        <v>445050</v>
      </c>
      <c r="N294" s="13">
        <f t="shared" si="33"/>
        <v>35604</v>
      </c>
      <c r="O294" s="13">
        <f t="shared" si="34"/>
        <v>409446</v>
      </c>
      <c r="P294" s="13">
        <f t="shared" si="35"/>
        <v>347139</v>
      </c>
      <c r="Q294" s="13">
        <f t="shared" si="36"/>
        <v>62307</v>
      </c>
      <c r="R294" s="10">
        <f t="shared" si="37"/>
        <v>0.152173913043478</v>
      </c>
      <c r="S294" t="str">
        <f t="shared" si="38"/>
        <v>Jun-2026</v>
      </c>
      <c r="T294" t="str">
        <f t="shared" si="39"/>
        <v>OK</v>
      </c>
    </row>
    <row r="295" spans="1:20">
      <c r="A295" t="str">
        <f>TRIM(Raw_Data!A295)</f>
        <v>ORD-10294</v>
      </c>
      <c r="B295" s="12">
        <f>IFERROR(IF(ISNUMBER(Raw_Data!B295),Raw_Data!B295,DATEVALUE(Raw_Data!B295)),"")</f>
        <v>46149</v>
      </c>
      <c r="C295" t="str">
        <f>PROPER(TRIM(Raw_Data!C295))</f>
        <v>Neha</v>
      </c>
      <c r="D295" t="str">
        <f>IF(TRIM(Raw_Data!D295)="Bangalore","Bengaluru",IF(TRIM(Raw_Data!D295)="Mysore","Mysuru",IF(TRIM(Raw_Data!D295)="Cochin","Kochi",PROPER(TRIM(Raw_Data!D295)))))</f>
        <v>Mumbai</v>
      </c>
      <c r="E295" t="str">
        <f>PROPER(TRIM(Raw_Data!E295))</f>
        <v>Corporate</v>
      </c>
      <c r="F295" t="str">
        <f>PROPER(TRIM(Raw_Data!F295))</f>
        <v>Consumer</v>
      </c>
      <c r="G295" t="str">
        <f>PROPER(TRIM(Raw_Data!G295))</f>
        <v>Keyboard</v>
      </c>
      <c r="H295" t="str">
        <f>PROPER(TRIM(Raw_Data!H295))</f>
        <v>Keyboard Wireless</v>
      </c>
      <c r="I295">
        <f>IFERROR(MAX(0,VALUE(Raw_Data!I295)),0)</f>
        <v>7</v>
      </c>
      <c r="J295" s="13">
        <f>IFERROR(VALUE(Raw_Data!J295),0)</f>
        <v>1258</v>
      </c>
      <c r="K295" s="14">
        <f>IFERROR(VALUE(Raw_Data!K295),0)</f>
        <v>0</v>
      </c>
      <c r="L295" t="str">
        <f>PROPER(TRIM(Raw_Data!L295))</f>
        <v>Delivered</v>
      </c>
      <c r="M295" s="13">
        <f t="shared" si="32"/>
        <v>8806</v>
      </c>
      <c r="N295" s="13">
        <f t="shared" si="33"/>
        <v>0</v>
      </c>
      <c r="O295" s="13">
        <f t="shared" si="34"/>
        <v>8806</v>
      </c>
      <c r="P295" s="13">
        <f t="shared" si="35"/>
        <v>5107.48</v>
      </c>
      <c r="Q295" s="13">
        <f t="shared" si="36"/>
        <v>3698.52</v>
      </c>
      <c r="R295" s="10">
        <f t="shared" si="37"/>
        <v>0.42</v>
      </c>
      <c r="S295" t="str">
        <f t="shared" si="38"/>
        <v>May-2026</v>
      </c>
      <c r="T295" t="str">
        <f t="shared" si="39"/>
        <v>OK</v>
      </c>
    </row>
    <row r="296" spans="1:20">
      <c r="A296" t="str">
        <f>TRIM(Raw_Data!A296)</f>
        <v>ORD-10295</v>
      </c>
      <c r="B296" s="12">
        <f>IFERROR(IF(ISNUMBER(Raw_Data!B296),Raw_Data!B296,DATEVALUE(Raw_Data!B296)),"")</f>
        <v>46223</v>
      </c>
      <c r="C296" t="str">
        <f>PROPER(TRIM(Raw_Data!C296))</f>
        <v>Kiran</v>
      </c>
      <c r="D296" t="str">
        <f>IF(TRIM(Raw_Data!D296)="Bangalore","Bengaluru",IF(TRIM(Raw_Data!D296)="Mysore","Mysuru",IF(TRIM(Raw_Data!D296)="Cochin","Kochi",PROPER(TRIM(Raw_Data!D296)))))</f>
        <v>Bengaluru</v>
      </c>
      <c r="E296" t="str">
        <f>PROPER(TRIM(Raw_Data!E296))</f>
        <v>Retail Store</v>
      </c>
      <c r="F296" t="str">
        <f>PROPER(TRIM(Raw_Data!F296))</f>
        <v>Consumer</v>
      </c>
      <c r="G296" t="str">
        <f>PROPER(TRIM(Raw_Data!G296))</f>
        <v>Keyboard</v>
      </c>
      <c r="H296" t="str">
        <f>PROPER(TRIM(Raw_Data!H296))</f>
        <v>Keyboard Wireless</v>
      </c>
      <c r="I296">
        <f>IFERROR(MAX(0,VALUE(Raw_Data!I296)),0)</f>
        <v>1</v>
      </c>
      <c r="J296" s="13">
        <f>IFERROR(VALUE(Raw_Data!J296),0)</f>
        <v>4918</v>
      </c>
      <c r="K296" s="14">
        <f>IFERROR(VALUE(Raw_Data!K296),0)</f>
        <v>0.05</v>
      </c>
      <c r="L296" t="str">
        <f>PROPER(TRIM(Raw_Data!L296))</f>
        <v>Pending</v>
      </c>
      <c r="M296" s="13">
        <f t="shared" si="32"/>
        <v>4918</v>
      </c>
      <c r="N296" s="13">
        <f t="shared" si="33"/>
        <v>245.9</v>
      </c>
      <c r="O296" s="13">
        <f t="shared" si="34"/>
        <v>4672.1</v>
      </c>
      <c r="P296" s="13">
        <f t="shared" si="35"/>
        <v>2852.44</v>
      </c>
      <c r="Q296" s="13">
        <f t="shared" si="36"/>
        <v>1819.66</v>
      </c>
      <c r="R296" s="10">
        <f t="shared" si="37"/>
        <v>0.389473684210526</v>
      </c>
      <c r="S296" t="str">
        <f t="shared" si="38"/>
        <v>Jul-2026</v>
      </c>
      <c r="T296" t="str">
        <f t="shared" si="39"/>
        <v>OK</v>
      </c>
    </row>
    <row r="297" spans="1:20">
      <c r="A297" t="str">
        <f>TRIM(Raw_Data!A297)</f>
        <v>ORD-10296</v>
      </c>
      <c r="B297" s="12">
        <f>IFERROR(IF(ISNUMBER(Raw_Data!B297),Raw_Data!B297,DATEVALUE(Raw_Data!B297)),"")</f>
        <v>46229</v>
      </c>
      <c r="C297" t="str">
        <f>PROPER(TRIM(Raw_Data!C297))</f>
        <v>Ravi</v>
      </c>
      <c r="D297" t="str">
        <f>IF(TRIM(Raw_Data!D297)="Bangalore","Bengaluru",IF(TRIM(Raw_Data!D297)="Mysore","Mysuru",IF(TRIM(Raw_Data!D297)="Cochin","Kochi",PROPER(TRIM(Raw_Data!D297)))))</f>
        <v>Pune</v>
      </c>
      <c r="E297" t="str">
        <f>PROPER(TRIM(Raw_Data!E297))</f>
        <v>Online</v>
      </c>
      <c r="F297" t="str">
        <f>PROPER(TRIM(Raw_Data!F297))</f>
        <v>Consumer</v>
      </c>
      <c r="G297" t="str">
        <f>PROPER(TRIM(Raw_Data!G297))</f>
        <v>Laptop</v>
      </c>
      <c r="H297" t="str">
        <f>PROPER(TRIM(Raw_Data!H297))</f>
        <v>Business Laptop 15</v>
      </c>
      <c r="I297">
        <f>IFERROR(MAX(0,VALUE(Raw_Data!I297)),0)</f>
        <v>6</v>
      </c>
      <c r="J297" s="13">
        <f>IFERROR(VALUE(Raw_Data!J297),0)</f>
        <v>72775</v>
      </c>
      <c r="K297" s="14">
        <f>IFERROR(VALUE(Raw_Data!K297),0)</f>
        <v>0.05</v>
      </c>
      <c r="L297" t="str">
        <f>PROPER(TRIM(Raw_Data!L297))</f>
        <v>Delivered</v>
      </c>
      <c r="M297" s="13">
        <f t="shared" si="32"/>
        <v>436650</v>
      </c>
      <c r="N297" s="13">
        <f t="shared" si="33"/>
        <v>21832.5</v>
      </c>
      <c r="O297" s="13">
        <f t="shared" si="34"/>
        <v>414817.5</v>
      </c>
      <c r="P297" s="13">
        <f t="shared" si="35"/>
        <v>340587</v>
      </c>
      <c r="Q297" s="13">
        <f t="shared" si="36"/>
        <v>74230.5</v>
      </c>
      <c r="R297" s="10">
        <f t="shared" si="37"/>
        <v>0.178947368421053</v>
      </c>
      <c r="S297" t="str">
        <f t="shared" si="38"/>
        <v>Jul-2026</v>
      </c>
      <c r="T297" t="str">
        <f t="shared" si="39"/>
        <v>OK</v>
      </c>
    </row>
    <row r="298" spans="1:20">
      <c r="A298" t="str">
        <f>TRIM(Raw_Data!A298)</f>
        <v>ORD-10297</v>
      </c>
      <c r="B298" s="12">
        <f>IFERROR(IF(ISNUMBER(Raw_Data!B298),Raw_Data!B298,DATEVALUE(Raw_Data!B298)),"")</f>
        <v>46041</v>
      </c>
      <c r="C298" t="str">
        <f>PROPER(TRIM(Raw_Data!C298))</f>
        <v>Ravi</v>
      </c>
      <c r="D298" t="str">
        <f>IF(TRIM(Raw_Data!D298)="Bangalore","Bengaluru",IF(TRIM(Raw_Data!D298)="Mysore","Mysuru",IF(TRIM(Raw_Data!D298)="Cochin","Kochi",PROPER(TRIM(Raw_Data!D298)))))</f>
        <v>Mysuru</v>
      </c>
      <c r="E298" t="str">
        <f>PROPER(TRIM(Raw_Data!E298))</f>
        <v>Retail Store</v>
      </c>
      <c r="F298" t="str">
        <f>PROPER(TRIM(Raw_Data!F298))</f>
        <v>Consumer</v>
      </c>
      <c r="G298" t="str">
        <f>PROPER(TRIM(Raw_Data!G298))</f>
        <v>Headset</v>
      </c>
      <c r="H298" t="str">
        <f>PROPER(TRIM(Raw_Data!H298))</f>
        <v>Headset Office</v>
      </c>
      <c r="I298">
        <f>IFERROR(MAX(0,VALUE(Raw_Data!I298)),0)</f>
        <v>1</v>
      </c>
      <c r="J298" s="13">
        <f>IFERROR(VALUE(Raw_Data!J298),0)</f>
        <v>1997</v>
      </c>
      <c r="K298" s="14">
        <f>IFERROR(VALUE(Raw_Data!K298),0)</f>
        <v>0.08</v>
      </c>
      <c r="L298" t="str">
        <f>PROPER(TRIM(Raw_Data!L298))</f>
        <v>Delivered</v>
      </c>
      <c r="M298" s="13">
        <f t="shared" si="32"/>
        <v>1997</v>
      </c>
      <c r="N298" s="13">
        <f t="shared" si="33"/>
        <v>159.76</v>
      </c>
      <c r="O298" s="13">
        <f t="shared" si="34"/>
        <v>1837.24</v>
      </c>
      <c r="P298" s="13">
        <f t="shared" si="35"/>
        <v>1198.2</v>
      </c>
      <c r="Q298" s="13">
        <f t="shared" si="36"/>
        <v>639.04</v>
      </c>
      <c r="R298" s="10">
        <f t="shared" si="37"/>
        <v>0.347826086956522</v>
      </c>
      <c r="S298" t="str">
        <f t="shared" si="38"/>
        <v>Jan-2026</v>
      </c>
      <c r="T298" t="str">
        <f t="shared" si="39"/>
        <v>OK</v>
      </c>
    </row>
    <row r="299" spans="1:20">
      <c r="A299" t="str">
        <f>TRIM(Raw_Data!A299)</f>
        <v>ORD-10298</v>
      </c>
      <c r="B299" s="12">
        <f>IFERROR(IF(ISNUMBER(Raw_Data!B299),Raw_Data!B299,DATEVALUE(Raw_Data!B299)),"")</f>
        <v>46244</v>
      </c>
      <c r="C299" t="str">
        <f>PROPER(TRIM(Raw_Data!C299))</f>
        <v>Asha</v>
      </c>
      <c r="D299" t="str">
        <f>IF(TRIM(Raw_Data!D299)="Bangalore","Bengaluru",IF(TRIM(Raw_Data!D299)="Mysore","Mysuru",IF(TRIM(Raw_Data!D299)="Cochin","Kochi",PROPER(TRIM(Raw_Data!D299)))))</f>
        <v>Bengaluru</v>
      </c>
      <c r="E299" t="str">
        <f>PROPER(TRIM(Raw_Data!E299))</f>
        <v>Online</v>
      </c>
      <c r="F299" t="str">
        <f>PROPER(TRIM(Raw_Data!F299))</f>
        <v>Smb</v>
      </c>
      <c r="G299" t="str">
        <f>PROPER(TRIM(Raw_Data!G299))</f>
        <v>Headset</v>
      </c>
      <c r="H299" t="str">
        <f>PROPER(TRIM(Raw_Data!H299))</f>
        <v>Headset Office</v>
      </c>
      <c r="I299">
        <f>IFERROR(MAX(0,VALUE(Raw_Data!I299)),0)</f>
        <v>2</v>
      </c>
      <c r="J299" s="13">
        <f>IFERROR(VALUE(Raw_Data!J299),0)</f>
        <v>6580</v>
      </c>
      <c r="K299" s="14">
        <f>IFERROR(VALUE(Raw_Data!K299),0)</f>
        <v>0.05</v>
      </c>
      <c r="L299" t="str">
        <f>PROPER(TRIM(Raw_Data!L299))</f>
        <v>Returned</v>
      </c>
      <c r="M299" s="13">
        <f t="shared" si="32"/>
        <v>13160</v>
      </c>
      <c r="N299" s="13">
        <f t="shared" si="33"/>
        <v>658</v>
      </c>
      <c r="O299" s="13">
        <f t="shared" si="34"/>
        <v>12502</v>
      </c>
      <c r="P299" s="13">
        <f t="shared" si="35"/>
        <v>7896</v>
      </c>
      <c r="Q299" s="13">
        <f t="shared" si="36"/>
        <v>4606</v>
      </c>
      <c r="R299" s="10">
        <f t="shared" si="37"/>
        <v>0.368421052631579</v>
      </c>
      <c r="S299" t="str">
        <f t="shared" si="38"/>
        <v>Aug-2026</v>
      </c>
      <c r="T299" t="str">
        <f t="shared" si="39"/>
        <v>OK</v>
      </c>
    </row>
    <row r="300" spans="1:20">
      <c r="A300" t="str">
        <f>TRIM(Raw_Data!A300)</f>
        <v>ORD-10299</v>
      </c>
      <c r="B300" s="12" t="str">
        <f>IFERROR(IF(ISNUMBER(Raw_Data!B300),Raw_Data!B300,DATEVALUE(Raw_Data!B300)),"")</f>
        <v/>
      </c>
      <c r="C300" t="str">
        <f>PROPER(TRIM(Raw_Data!C300))</f>
        <v>Bhoomika</v>
      </c>
      <c r="D300" t="str">
        <f>IF(TRIM(Raw_Data!D300)="Bangalore","Bengaluru",IF(TRIM(Raw_Data!D300)="Mysore","Mysuru",IF(TRIM(Raw_Data!D300)="Cochin","Kochi",PROPER(TRIM(Raw_Data!D300)))))</f>
        <v>Pune</v>
      </c>
      <c r="E300" t="str">
        <f>PROPER(TRIM(Raw_Data!E300))</f>
        <v>Online</v>
      </c>
      <c r="F300" t="str">
        <f>PROPER(TRIM(Raw_Data!F300))</f>
        <v>Enterprise</v>
      </c>
      <c r="G300" t="str">
        <f>PROPER(TRIM(Raw_Data!G300))</f>
        <v>Mouse</v>
      </c>
      <c r="H300" t="str">
        <f>PROPER(TRIM(Raw_Data!H300))</f>
        <v>Mouse Wireless</v>
      </c>
      <c r="I300">
        <f>IFERROR(MAX(0,VALUE(Raw_Data!I300)),0)</f>
        <v>7</v>
      </c>
      <c r="J300" s="13">
        <f>IFERROR(VALUE(Raw_Data!J300),0)</f>
        <v>1222</v>
      </c>
      <c r="K300" s="14">
        <f>IFERROR(VALUE(Raw_Data!K300),0)</f>
        <v>0.1</v>
      </c>
      <c r="L300" t="str">
        <f>PROPER(TRIM(Raw_Data!L300))</f>
        <v>Returned</v>
      </c>
      <c r="M300" s="13">
        <f t="shared" si="32"/>
        <v>8554</v>
      </c>
      <c r="N300" s="13">
        <f t="shared" si="33"/>
        <v>855.4</v>
      </c>
      <c r="O300" s="13">
        <f t="shared" si="34"/>
        <v>7698.6</v>
      </c>
      <c r="P300" s="13">
        <f t="shared" si="35"/>
        <v>4704.7</v>
      </c>
      <c r="Q300" s="13">
        <f t="shared" si="36"/>
        <v>2993.9</v>
      </c>
      <c r="R300" s="10">
        <f t="shared" si="37"/>
        <v>0.388888888888889</v>
      </c>
      <c r="S300" t="str">
        <f t="shared" si="38"/>
        <v/>
      </c>
      <c r="T300" t="str">
        <f t="shared" si="39"/>
        <v>CHECK</v>
      </c>
    </row>
    <row r="301" spans="1:20">
      <c r="A301" t="str">
        <f>TRIM(Raw_Data!A301)</f>
        <v>ORD-10300</v>
      </c>
      <c r="B301" s="12">
        <f>IFERROR(IF(ISNUMBER(Raw_Data!B301),Raw_Data!B301,DATEVALUE(Raw_Data!B301)),"")</f>
        <v>46242</v>
      </c>
      <c r="C301" t="str">
        <f>PROPER(TRIM(Raw_Data!C301))</f>
        <v>Neha</v>
      </c>
      <c r="D301" t="str">
        <f>IF(TRIM(Raw_Data!D301)="Bangalore","Bengaluru",IF(TRIM(Raw_Data!D301)="Mysore","Mysuru",IF(TRIM(Raw_Data!D301)="Cochin","Kochi",PROPER(TRIM(Raw_Data!D301)))))</f>
        <v>New Delhi</v>
      </c>
      <c r="E301" t="str">
        <f>PROPER(TRIM(Raw_Data!E301))</f>
        <v>Corporate</v>
      </c>
      <c r="F301" t="str">
        <f>PROPER(TRIM(Raw_Data!F301))</f>
        <v>Enterprise</v>
      </c>
      <c r="G301" t="str">
        <f>PROPER(TRIM(Raw_Data!G301))</f>
        <v>Laptop</v>
      </c>
      <c r="H301" t="str">
        <f>PROPER(TRIM(Raw_Data!H301))</f>
        <v>Laptop Air 13</v>
      </c>
      <c r="I301">
        <f>IFERROR(MAX(0,VALUE(Raw_Data!I301)),0)</f>
        <v>4</v>
      </c>
      <c r="J301" s="13">
        <f>IFERROR(VALUE(Raw_Data!J301),0)</f>
        <v>57806</v>
      </c>
      <c r="K301" s="14">
        <f>IFERROR(VALUE(Raw_Data!K301),0)</f>
        <v>0.15</v>
      </c>
      <c r="L301" t="str">
        <f>PROPER(TRIM(Raw_Data!L301))</f>
        <v>Pending</v>
      </c>
      <c r="M301" s="13">
        <f t="shared" si="32"/>
        <v>231224</v>
      </c>
      <c r="N301" s="13">
        <f t="shared" si="33"/>
        <v>34683.6</v>
      </c>
      <c r="O301" s="13">
        <f t="shared" si="34"/>
        <v>196540.4</v>
      </c>
      <c r="P301" s="13">
        <f t="shared" si="35"/>
        <v>180354.72</v>
      </c>
      <c r="Q301" s="13">
        <f t="shared" si="36"/>
        <v>16185.68</v>
      </c>
      <c r="R301" s="10">
        <f t="shared" si="37"/>
        <v>0.0823529411764706</v>
      </c>
      <c r="S301" t="str">
        <f t="shared" si="38"/>
        <v>Aug-2026</v>
      </c>
      <c r="T301" t="str">
        <f t="shared" si="39"/>
        <v>OK</v>
      </c>
    </row>
    <row r="302" spans="1:20">
      <c r="A302" t="str">
        <f>TRIM(Raw_Data!A302)</f>
        <v>ORD-10301</v>
      </c>
      <c r="B302" s="12">
        <f>IFERROR(IF(ISNUMBER(Raw_Data!B302),Raw_Data!B302,DATEVALUE(Raw_Data!B302)),"")</f>
        <v>46200</v>
      </c>
      <c r="C302" t="str">
        <f>PROPER(TRIM(Raw_Data!C302))</f>
        <v>Ravi</v>
      </c>
      <c r="D302" t="str">
        <f>IF(TRIM(Raw_Data!D302)="Bangalore","Bengaluru",IF(TRIM(Raw_Data!D302)="Mysore","Mysuru",IF(TRIM(Raw_Data!D302)="Cochin","Kochi",PROPER(TRIM(Raw_Data!D302)))))</f>
        <v>Pune</v>
      </c>
      <c r="E302" t="str">
        <f>PROPER(TRIM(Raw_Data!E302))</f>
        <v>Online</v>
      </c>
      <c r="F302" t="str">
        <f>PROPER(TRIM(Raw_Data!F302))</f>
        <v>Smb</v>
      </c>
      <c r="G302" t="str">
        <f>PROPER(TRIM(Raw_Data!G302))</f>
        <v>Monitor</v>
      </c>
      <c r="H302" t="str">
        <f>PROPER(TRIM(Raw_Data!H302))</f>
        <v>Monitor 27</v>
      </c>
      <c r="I302">
        <f>IFERROR(MAX(0,VALUE(Raw_Data!I302)),0)</f>
        <v>7</v>
      </c>
      <c r="J302" s="13">
        <f>IFERROR(VALUE(Raw_Data!J302),0)</f>
        <v>24753</v>
      </c>
      <c r="K302" s="14">
        <f>IFERROR(VALUE(Raw_Data!K302),0)</f>
        <v>0.02</v>
      </c>
      <c r="L302" t="str">
        <f>PROPER(TRIM(Raw_Data!L302))</f>
        <v>Delivered</v>
      </c>
      <c r="M302" s="13">
        <f t="shared" si="32"/>
        <v>173271</v>
      </c>
      <c r="N302" s="13">
        <f t="shared" si="33"/>
        <v>3465.42</v>
      </c>
      <c r="O302" s="13">
        <f t="shared" si="34"/>
        <v>169805.58</v>
      </c>
      <c r="P302" s="13">
        <f t="shared" si="35"/>
        <v>121289.7</v>
      </c>
      <c r="Q302" s="13">
        <f t="shared" si="36"/>
        <v>48515.88</v>
      </c>
      <c r="R302" s="10">
        <f t="shared" si="37"/>
        <v>0.285714285714286</v>
      </c>
      <c r="S302" t="str">
        <f t="shared" si="38"/>
        <v>Jun-2026</v>
      </c>
      <c r="T302" t="str">
        <f t="shared" si="39"/>
        <v>OK</v>
      </c>
    </row>
    <row r="303" spans="1:20">
      <c r="A303" t="str">
        <f>TRIM(Raw_Data!A303)</f>
        <v>ORD-10302</v>
      </c>
      <c r="B303" s="12">
        <f>IFERROR(IF(ISNUMBER(Raw_Data!B303),Raw_Data!B303,DATEVALUE(Raw_Data!B303)),"")</f>
        <v>46164</v>
      </c>
      <c r="C303" t="str">
        <f>PROPER(TRIM(Raw_Data!C303))</f>
        <v>Ravi</v>
      </c>
      <c r="D303" t="str">
        <f>IF(TRIM(Raw_Data!D303)="Bangalore","Bengaluru",IF(TRIM(Raw_Data!D303)="Mysore","Mysuru",IF(TRIM(Raw_Data!D303)="Cochin","Kochi",PROPER(TRIM(Raw_Data!D303)))))</f>
        <v>Pune</v>
      </c>
      <c r="E303" t="str">
        <f>PROPER(TRIM(Raw_Data!E303))</f>
        <v>Retail Store</v>
      </c>
      <c r="F303" t="str">
        <f>PROPER(TRIM(Raw_Data!F303))</f>
        <v>Enterprise</v>
      </c>
      <c r="G303" t="str">
        <f>PROPER(TRIM(Raw_Data!G303))</f>
        <v>Monitor</v>
      </c>
      <c r="H303" t="str">
        <f>PROPER(TRIM(Raw_Data!H303))</f>
        <v>Monitor 24</v>
      </c>
      <c r="I303">
        <f>IFERROR(MAX(0,VALUE(Raw_Data!I303)),0)</f>
        <v>3</v>
      </c>
      <c r="J303" s="13">
        <f>IFERROR(VALUE(Raw_Data!J303),0)</f>
        <v>14769</v>
      </c>
      <c r="K303" s="14">
        <f>IFERROR(VALUE(Raw_Data!K303),0)</f>
        <v>0.08</v>
      </c>
      <c r="L303" t="str">
        <f>PROPER(TRIM(Raw_Data!L303))</f>
        <v>Returned</v>
      </c>
      <c r="M303" s="13">
        <f t="shared" si="32"/>
        <v>44307</v>
      </c>
      <c r="N303" s="13">
        <f t="shared" si="33"/>
        <v>3544.56</v>
      </c>
      <c r="O303" s="13">
        <f t="shared" si="34"/>
        <v>40762.44</v>
      </c>
      <c r="P303" s="13">
        <f t="shared" si="35"/>
        <v>31014.9</v>
      </c>
      <c r="Q303" s="13">
        <f t="shared" si="36"/>
        <v>9747.54</v>
      </c>
      <c r="R303" s="10">
        <f t="shared" si="37"/>
        <v>0.239130434782609</v>
      </c>
      <c r="S303" t="str">
        <f t="shared" si="38"/>
        <v>May-2026</v>
      </c>
      <c r="T303" t="str">
        <f t="shared" si="39"/>
        <v>OK</v>
      </c>
    </row>
    <row r="304" spans="1:20">
      <c r="A304" t="str">
        <f>TRIM(Raw_Data!A304)</f>
        <v>ORD-10303</v>
      </c>
      <c r="B304" s="12">
        <f>IFERROR(IF(ISNUMBER(Raw_Data!B304),Raw_Data!B304,DATEVALUE(Raw_Data!B304)),"")</f>
        <v>46118</v>
      </c>
      <c r="C304" t="str">
        <f>PROPER(TRIM(Raw_Data!C304))</f>
        <v>Bhoomika</v>
      </c>
      <c r="D304" t="str">
        <f>IF(TRIM(Raw_Data!D304)="Bangalore","Bengaluru",IF(TRIM(Raw_Data!D304)="Mysore","Mysuru",IF(TRIM(Raw_Data!D304)="Cochin","Kochi",PROPER(TRIM(Raw_Data!D304)))))</f>
        <v>Kochi</v>
      </c>
      <c r="E304" t="str">
        <f>PROPER(TRIM(Raw_Data!E304))</f>
        <v>Corporate</v>
      </c>
      <c r="F304" t="str">
        <f>PROPER(TRIM(Raw_Data!F304))</f>
        <v>Smb</v>
      </c>
      <c r="G304" t="str">
        <f>PROPER(TRIM(Raw_Data!G304))</f>
        <v>Keyboard</v>
      </c>
      <c r="H304" t="str">
        <f>PROPER(TRIM(Raw_Data!H304))</f>
        <v>Keyboard Office</v>
      </c>
      <c r="I304">
        <f>IFERROR(MAX(0,VALUE(Raw_Data!I304)),0)</f>
        <v>3</v>
      </c>
      <c r="J304" s="13">
        <f>IFERROR(VALUE(Raw_Data!J304),0)</f>
        <v>2749</v>
      </c>
      <c r="K304" s="14">
        <f>IFERROR(VALUE(Raw_Data!K304),0)</f>
        <v>0.05</v>
      </c>
      <c r="L304" t="str">
        <f>PROPER(TRIM(Raw_Data!L304))</f>
        <v>Delivered</v>
      </c>
      <c r="M304" s="13">
        <f t="shared" si="32"/>
        <v>8247</v>
      </c>
      <c r="N304" s="13">
        <f t="shared" si="33"/>
        <v>412.35</v>
      </c>
      <c r="O304" s="13">
        <f t="shared" si="34"/>
        <v>7834.65</v>
      </c>
      <c r="P304" s="13">
        <f t="shared" si="35"/>
        <v>4783.26</v>
      </c>
      <c r="Q304" s="13">
        <f t="shared" si="36"/>
        <v>3051.39</v>
      </c>
      <c r="R304" s="10">
        <f t="shared" si="37"/>
        <v>0.389473684210526</v>
      </c>
      <c r="S304" t="str">
        <f t="shared" si="38"/>
        <v>Apr-2026</v>
      </c>
      <c r="T304" t="str">
        <f t="shared" si="39"/>
        <v>OK</v>
      </c>
    </row>
    <row r="305" spans="1:20">
      <c r="A305" t="str">
        <f>TRIM(Raw_Data!A305)</f>
        <v>ORD-10304</v>
      </c>
      <c r="B305" s="12">
        <f>IFERROR(IF(ISNUMBER(Raw_Data!B305),Raw_Data!B305,DATEVALUE(Raw_Data!B305)),"")</f>
        <v>46155</v>
      </c>
      <c r="C305" t="str">
        <f>PROPER(TRIM(Raw_Data!C305))</f>
        <v>Asha</v>
      </c>
      <c r="D305" t="str">
        <f>IF(TRIM(Raw_Data!D305)="Bangalore","Bengaluru",IF(TRIM(Raw_Data!D305)="Mysore","Mysuru",IF(TRIM(Raw_Data!D305)="Cochin","Kochi",PROPER(TRIM(Raw_Data!D305)))))</f>
        <v>New Delhi</v>
      </c>
      <c r="E305" t="str">
        <f>PROPER(TRIM(Raw_Data!E305))</f>
        <v>Retail Store</v>
      </c>
      <c r="F305" t="str">
        <f>PROPER(TRIM(Raw_Data!F305))</f>
        <v>Enterprise</v>
      </c>
      <c r="G305" t="str">
        <f>PROPER(TRIM(Raw_Data!G305))</f>
        <v>Mouse</v>
      </c>
      <c r="H305" t="str">
        <f>PROPER(TRIM(Raw_Data!H305))</f>
        <v>Mouse Wireless</v>
      </c>
      <c r="I305">
        <f>IFERROR(MAX(0,VALUE(Raw_Data!I305)),0)</f>
        <v>5</v>
      </c>
      <c r="J305" s="13">
        <f>IFERROR(VALUE(Raw_Data!J305),0)</f>
        <v>2726</v>
      </c>
      <c r="K305" s="14">
        <f>IFERROR(VALUE(Raw_Data!K305),0)</f>
        <v>0.1</v>
      </c>
      <c r="L305" t="str">
        <f>PROPER(TRIM(Raw_Data!L305))</f>
        <v>Pending</v>
      </c>
      <c r="M305" s="13">
        <f t="shared" si="32"/>
        <v>13630</v>
      </c>
      <c r="N305" s="13">
        <f t="shared" si="33"/>
        <v>1363</v>
      </c>
      <c r="O305" s="13">
        <f t="shared" si="34"/>
        <v>12267</v>
      </c>
      <c r="P305" s="13">
        <f t="shared" si="35"/>
        <v>7496.5</v>
      </c>
      <c r="Q305" s="13">
        <f t="shared" si="36"/>
        <v>4770.5</v>
      </c>
      <c r="R305" s="10">
        <f t="shared" si="37"/>
        <v>0.388888888888889</v>
      </c>
      <c r="S305" t="str">
        <f t="shared" si="38"/>
        <v>May-2026</v>
      </c>
      <c r="T305" t="str">
        <f t="shared" si="39"/>
        <v>OK</v>
      </c>
    </row>
    <row r="306" spans="1:20">
      <c r="A306" t="str">
        <f>TRIM(Raw_Data!A306)</f>
        <v>ORD-10305</v>
      </c>
      <c r="B306" s="12">
        <f>IFERROR(IF(ISNUMBER(Raw_Data!B306),Raw_Data!B306,DATEVALUE(Raw_Data!B306)),"")</f>
        <v>46136</v>
      </c>
      <c r="C306" t="str">
        <f>PROPER(TRIM(Raw_Data!C306))</f>
        <v>Kiran</v>
      </c>
      <c r="D306" t="str">
        <f>IF(TRIM(Raw_Data!D306)="Bangalore","Bengaluru",IF(TRIM(Raw_Data!D306)="Mysore","Mysuru",IF(TRIM(Raw_Data!D306)="Cochin","Kochi",PROPER(TRIM(Raw_Data!D306)))))</f>
        <v>Pune</v>
      </c>
      <c r="E306" t="str">
        <f>PROPER(TRIM(Raw_Data!E306))</f>
        <v>Retail Store</v>
      </c>
      <c r="F306" t="str">
        <f>PROPER(TRIM(Raw_Data!F306))</f>
        <v>Smb</v>
      </c>
      <c r="G306" t="str">
        <f>PROPER(TRIM(Raw_Data!G306))</f>
        <v>Headset</v>
      </c>
      <c r="H306" t="str">
        <f>PROPER(TRIM(Raw_Data!H306))</f>
        <v>Headset Wireless</v>
      </c>
      <c r="I306">
        <f>IFERROR(MAX(0,VALUE(Raw_Data!I306)),0)</f>
        <v>6</v>
      </c>
      <c r="J306" s="13">
        <f>IFERROR(VALUE(Raw_Data!J306),0)</f>
        <v>6588</v>
      </c>
      <c r="K306" s="14">
        <f>IFERROR(VALUE(Raw_Data!K306),0)</f>
        <v>0.08</v>
      </c>
      <c r="L306" t="str">
        <f>PROPER(TRIM(Raw_Data!L306))</f>
        <v>Pending</v>
      </c>
      <c r="M306" s="13">
        <f t="shared" si="32"/>
        <v>39528</v>
      </c>
      <c r="N306" s="13">
        <f t="shared" si="33"/>
        <v>3162.24</v>
      </c>
      <c r="O306" s="13">
        <f t="shared" si="34"/>
        <v>36365.76</v>
      </c>
      <c r="P306" s="13">
        <f t="shared" si="35"/>
        <v>23716.8</v>
      </c>
      <c r="Q306" s="13">
        <f t="shared" si="36"/>
        <v>12648.96</v>
      </c>
      <c r="R306" s="10">
        <f t="shared" si="37"/>
        <v>0.347826086956522</v>
      </c>
      <c r="S306" t="str">
        <f t="shared" si="38"/>
        <v>Apr-2026</v>
      </c>
      <c r="T306" t="str">
        <f t="shared" si="39"/>
        <v>OK</v>
      </c>
    </row>
    <row r="307" spans="1:20">
      <c r="A307" t="str">
        <f>TRIM(Raw_Data!A307)</f>
        <v>ORD-10306</v>
      </c>
      <c r="B307" s="12">
        <f>IFERROR(IF(ISNUMBER(Raw_Data!B307),Raw_Data!B307,DATEVALUE(Raw_Data!B307)),"")</f>
        <v>46260</v>
      </c>
      <c r="C307" t="str">
        <f>PROPER(TRIM(Raw_Data!C307))</f>
        <v>Bhoomika</v>
      </c>
      <c r="D307" t="str">
        <f>IF(TRIM(Raw_Data!D307)="Bangalore","Bengaluru",IF(TRIM(Raw_Data!D307)="Mysore","Mysuru",IF(TRIM(Raw_Data!D307)="Cochin","Kochi",PROPER(TRIM(Raw_Data!D307)))))</f>
        <v>Chennai</v>
      </c>
      <c r="E307" t="str">
        <f>PROPER(TRIM(Raw_Data!E307))</f>
        <v>Retail Store</v>
      </c>
      <c r="F307" t="str">
        <f>PROPER(TRIM(Raw_Data!F307))</f>
        <v>Consumer</v>
      </c>
      <c r="G307" t="str">
        <f>PROPER(TRIM(Raw_Data!G307))</f>
        <v>Monitor</v>
      </c>
      <c r="H307" t="str">
        <f>PROPER(TRIM(Raw_Data!H307))</f>
        <v>Monitor 24</v>
      </c>
      <c r="I307">
        <f>IFERROR(MAX(0,VALUE(Raw_Data!I307)),0)</f>
        <v>6</v>
      </c>
      <c r="J307" s="13">
        <f>IFERROR(VALUE(Raw_Data!J307),0)</f>
        <v>20804</v>
      </c>
      <c r="K307" s="14">
        <f>IFERROR(VALUE(Raw_Data!K307),0)</f>
        <v>0.02</v>
      </c>
      <c r="L307" t="str">
        <f>PROPER(TRIM(Raw_Data!L307))</f>
        <v>Returned</v>
      </c>
      <c r="M307" s="13">
        <f t="shared" si="32"/>
        <v>124824</v>
      </c>
      <c r="N307" s="13">
        <f t="shared" si="33"/>
        <v>2496.48</v>
      </c>
      <c r="O307" s="13">
        <f t="shared" si="34"/>
        <v>122327.52</v>
      </c>
      <c r="P307" s="13">
        <f t="shared" si="35"/>
        <v>87376.8</v>
      </c>
      <c r="Q307" s="13">
        <f t="shared" si="36"/>
        <v>34950.72</v>
      </c>
      <c r="R307" s="10">
        <f t="shared" si="37"/>
        <v>0.285714285714286</v>
      </c>
      <c r="S307" t="str">
        <f t="shared" si="38"/>
        <v>Aug-2026</v>
      </c>
      <c r="T307" t="str">
        <f t="shared" si="39"/>
        <v>OK</v>
      </c>
    </row>
    <row r="308" spans="1:20">
      <c r="A308" t="str">
        <f>TRIM(Raw_Data!A308)</f>
        <v>ORD-10307</v>
      </c>
      <c r="B308" s="12">
        <f>IFERROR(IF(ISNUMBER(Raw_Data!B308),Raw_Data!B308,DATEVALUE(Raw_Data!B308)),"")</f>
        <v>46190</v>
      </c>
      <c r="C308" t="str">
        <f>PROPER(TRIM(Raw_Data!C308))</f>
        <v>Neha</v>
      </c>
      <c r="D308" t="str">
        <f>IF(TRIM(Raw_Data!D308)="Bangalore","Bengaluru",IF(TRIM(Raw_Data!D308)="Mysore","Mysuru",IF(TRIM(Raw_Data!D308)="Cochin","Kochi",PROPER(TRIM(Raw_Data!D308)))))</f>
        <v>Hydrabad</v>
      </c>
      <c r="E308" t="str">
        <f>PROPER(TRIM(Raw_Data!E308))</f>
        <v>Online</v>
      </c>
      <c r="F308" t="str">
        <f>PROPER(TRIM(Raw_Data!F308))</f>
        <v>Smb</v>
      </c>
      <c r="G308" t="str">
        <f>PROPER(TRIM(Raw_Data!G308))</f>
        <v>Laptop</v>
      </c>
      <c r="H308" t="str">
        <f>PROPER(TRIM(Raw_Data!H308))</f>
        <v>Laptop Air 13</v>
      </c>
      <c r="I308">
        <f>IFERROR(MAX(0,VALUE(Raw_Data!I308)),0)</f>
        <v>4</v>
      </c>
      <c r="J308" s="13">
        <f>IFERROR(VALUE(Raw_Data!J308),0)</f>
        <v>71050</v>
      </c>
      <c r="K308" s="14">
        <f>IFERROR(VALUE(Raw_Data!K308),0)</f>
        <v>0.1</v>
      </c>
      <c r="L308" t="str">
        <f>PROPER(TRIM(Raw_Data!L308))</f>
        <v>Cancelled</v>
      </c>
      <c r="M308" s="13">
        <f t="shared" si="32"/>
        <v>284200</v>
      </c>
      <c r="N308" s="13">
        <f t="shared" si="33"/>
        <v>28420</v>
      </c>
      <c r="O308" s="13">
        <f t="shared" si="34"/>
        <v>255780</v>
      </c>
      <c r="P308" s="13">
        <f t="shared" si="35"/>
        <v>221676</v>
      </c>
      <c r="Q308" s="13">
        <f t="shared" si="36"/>
        <v>34104</v>
      </c>
      <c r="R308" s="10">
        <f t="shared" si="37"/>
        <v>0.133333333333333</v>
      </c>
      <c r="S308" t="str">
        <f t="shared" si="38"/>
        <v>Jun-2026</v>
      </c>
      <c r="T308" t="str">
        <f t="shared" si="39"/>
        <v>OK</v>
      </c>
    </row>
    <row r="309" spans="1:20">
      <c r="A309" t="str">
        <f>TRIM(Raw_Data!A309)</f>
        <v>ORD-10308</v>
      </c>
      <c r="B309" s="12">
        <f>IFERROR(IF(ISNUMBER(Raw_Data!B309),Raw_Data!B309,DATEVALUE(Raw_Data!B309)),"")</f>
        <v>46025</v>
      </c>
      <c r="C309" t="str">
        <f>PROPER(TRIM(Raw_Data!C309))</f>
        <v>Asha</v>
      </c>
      <c r="D309" t="str">
        <f>IF(TRIM(Raw_Data!D309)="Bangalore","Bengaluru",IF(TRIM(Raw_Data!D309)="Mysore","Mysuru",IF(TRIM(Raw_Data!D309)="Cochin","Kochi",PROPER(TRIM(Raw_Data!D309)))))</f>
        <v>New Delhi</v>
      </c>
      <c r="E309" t="str">
        <f>PROPER(TRIM(Raw_Data!E309))</f>
        <v>Online</v>
      </c>
      <c r="F309" t="str">
        <f>PROPER(TRIM(Raw_Data!F309))</f>
        <v>Enterprise</v>
      </c>
      <c r="G309" t="str">
        <f>PROPER(TRIM(Raw_Data!G309))</f>
        <v>Mouse</v>
      </c>
      <c r="H309" t="str">
        <f>PROPER(TRIM(Raw_Data!H309))</f>
        <v>Mouse Basic</v>
      </c>
      <c r="I309">
        <f>IFERROR(MAX(0,VALUE(Raw_Data!I309)),0)</f>
        <v>7</v>
      </c>
      <c r="J309" s="13">
        <f>IFERROR(VALUE(Raw_Data!J309),0)</f>
        <v>2443</v>
      </c>
      <c r="K309" s="14">
        <f>IFERROR(VALUE(Raw_Data!K309),0)</f>
        <v>0.15</v>
      </c>
      <c r="L309" t="str">
        <f>PROPER(TRIM(Raw_Data!L309))</f>
        <v>Cancelled</v>
      </c>
      <c r="M309" s="13">
        <f t="shared" si="32"/>
        <v>17101</v>
      </c>
      <c r="N309" s="13">
        <f t="shared" si="33"/>
        <v>2565.15</v>
      </c>
      <c r="O309" s="13">
        <f t="shared" si="34"/>
        <v>14535.85</v>
      </c>
      <c r="P309" s="13">
        <f t="shared" si="35"/>
        <v>9405.55</v>
      </c>
      <c r="Q309" s="13">
        <f t="shared" si="36"/>
        <v>5130.3</v>
      </c>
      <c r="R309" s="10">
        <f t="shared" si="37"/>
        <v>0.352941176470588</v>
      </c>
      <c r="S309" t="str">
        <f t="shared" si="38"/>
        <v>Jan-2026</v>
      </c>
      <c r="T309" t="str">
        <f t="shared" si="39"/>
        <v>OK</v>
      </c>
    </row>
    <row r="310" spans="1:20">
      <c r="A310" t="str">
        <f>TRIM(Raw_Data!A310)</f>
        <v>ORD-10309</v>
      </c>
      <c r="B310" s="12">
        <f>IFERROR(IF(ISNUMBER(Raw_Data!B310),Raw_Data!B310,DATEVALUE(Raw_Data!B310)),"")</f>
        <v>46138</v>
      </c>
      <c r="C310" t="str">
        <f>PROPER(TRIM(Raw_Data!C310))</f>
        <v>Kiran</v>
      </c>
      <c r="D310" t="str">
        <f>IF(TRIM(Raw_Data!D310)="Bangalore","Bengaluru",IF(TRIM(Raw_Data!D310)="Mysore","Mysuru",IF(TRIM(Raw_Data!D310)="Cochin","Kochi",PROPER(TRIM(Raw_Data!D310)))))</f>
        <v>Hyderabad</v>
      </c>
      <c r="E310" t="str">
        <f>PROPER(TRIM(Raw_Data!E310))</f>
        <v>Corporate</v>
      </c>
      <c r="F310" t="str">
        <f>PROPER(TRIM(Raw_Data!F310))</f>
        <v>Enterprise</v>
      </c>
      <c r="G310" t="str">
        <f>PROPER(TRIM(Raw_Data!G310))</f>
        <v>Keyboard</v>
      </c>
      <c r="H310" t="str">
        <f>PROPER(TRIM(Raw_Data!H310))</f>
        <v>Keyboard Wireless</v>
      </c>
      <c r="I310">
        <f>IFERROR(MAX(0,VALUE(Raw_Data!I310)),0)</f>
        <v>8</v>
      </c>
      <c r="J310" s="13">
        <f>IFERROR(VALUE(Raw_Data!J310),0)</f>
        <v>2655</v>
      </c>
      <c r="K310" s="14">
        <f>IFERROR(VALUE(Raw_Data!K310),0)</f>
        <v>0</v>
      </c>
      <c r="L310" t="str">
        <f>PROPER(TRIM(Raw_Data!L310))</f>
        <v>Delivered</v>
      </c>
      <c r="M310" s="13">
        <f t="shared" si="32"/>
        <v>21240</v>
      </c>
      <c r="N310" s="13">
        <f t="shared" si="33"/>
        <v>0</v>
      </c>
      <c r="O310" s="13">
        <f t="shared" si="34"/>
        <v>21240</v>
      </c>
      <c r="P310" s="13">
        <f t="shared" si="35"/>
        <v>12319.2</v>
      </c>
      <c r="Q310" s="13">
        <f t="shared" si="36"/>
        <v>8920.8</v>
      </c>
      <c r="R310" s="10">
        <f t="shared" si="37"/>
        <v>0.42</v>
      </c>
      <c r="S310" t="str">
        <f t="shared" si="38"/>
        <v>Apr-2026</v>
      </c>
      <c r="T310" t="str">
        <f t="shared" si="39"/>
        <v>OK</v>
      </c>
    </row>
    <row r="311" spans="1:20">
      <c r="A311" t="str">
        <f>TRIM(Raw_Data!A311)</f>
        <v>ORD-10310</v>
      </c>
      <c r="B311" s="12">
        <f>IFERROR(IF(ISNUMBER(Raw_Data!B311),Raw_Data!B311,DATEVALUE(Raw_Data!B311)),"")</f>
        <v>46040</v>
      </c>
      <c r="C311" t="str">
        <f>PROPER(TRIM(Raw_Data!C311))</f>
        <v>Meghana</v>
      </c>
      <c r="D311" t="str">
        <f>IF(TRIM(Raw_Data!D311)="Bangalore","Bengaluru",IF(TRIM(Raw_Data!D311)="Mysore","Mysuru",IF(TRIM(Raw_Data!D311)="Cochin","Kochi",PROPER(TRIM(Raw_Data!D311)))))</f>
        <v>Hydrabad</v>
      </c>
      <c r="E311" t="str">
        <f>PROPER(TRIM(Raw_Data!E311))</f>
        <v>Retail Store</v>
      </c>
      <c r="F311" t="str">
        <f>PROPER(TRIM(Raw_Data!F311))</f>
        <v>Smb</v>
      </c>
      <c r="G311" t="str">
        <f>PROPER(TRIM(Raw_Data!G311))</f>
        <v>Mouse</v>
      </c>
      <c r="H311" t="str">
        <f>PROPER(TRIM(Raw_Data!H311))</f>
        <v>Mouse Wireless</v>
      </c>
      <c r="I311">
        <f>IFERROR(MAX(0,VALUE(Raw_Data!I311)),0)</f>
        <v>3</v>
      </c>
      <c r="J311" s="13">
        <f>IFERROR(VALUE(Raw_Data!J311),0)</f>
        <v>3422</v>
      </c>
      <c r="K311" s="14">
        <f>IFERROR(VALUE(Raw_Data!K311),0)</f>
        <v>0.1</v>
      </c>
      <c r="L311" t="str">
        <f>PROPER(TRIM(Raw_Data!L311))</f>
        <v>Cancelled</v>
      </c>
      <c r="M311" s="13">
        <f t="shared" si="32"/>
        <v>10266</v>
      </c>
      <c r="N311" s="13">
        <f t="shared" si="33"/>
        <v>1026.6</v>
      </c>
      <c r="O311" s="13">
        <f t="shared" si="34"/>
        <v>9239.4</v>
      </c>
      <c r="P311" s="13">
        <f t="shared" si="35"/>
        <v>5646.3</v>
      </c>
      <c r="Q311" s="13">
        <f t="shared" si="36"/>
        <v>3593.1</v>
      </c>
      <c r="R311" s="10">
        <f t="shared" si="37"/>
        <v>0.388888888888889</v>
      </c>
      <c r="S311" t="str">
        <f t="shared" si="38"/>
        <v>Jan-2026</v>
      </c>
      <c r="T311" t="str">
        <f t="shared" si="39"/>
        <v>OK</v>
      </c>
    </row>
    <row r="312" spans="1:20">
      <c r="A312" t="str">
        <f>TRIM(Raw_Data!A312)</f>
        <v>ORD-10311</v>
      </c>
      <c r="B312" s="12">
        <f>IFERROR(IF(ISNUMBER(Raw_Data!B312),Raw_Data!B312,DATEVALUE(Raw_Data!B312)),"")</f>
        <v>46046</v>
      </c>
      <c r="C312" t="str">
        <f>PROPER(TRIM(Raw_Data!C312))</f>
        <v>Kiran</v>
      </c>
      <c r="D312" t="str">
        <f>IF(TRIM(Raw_Data!D312)="Bangalore","Bengaluru",IF(TRIM(Raw_Data!D312)="Mysore","Mysuru",IF(TRIM(Raw_Data!D312)="Cochin","Kochi",PROPER(TRIM(Raw_Data!D312)))))</f>
        <v>Mysuru</v>
      </c>
      <c r="E312" t="str">
        <f>PROPER(TRIM(Raw_Data!E312))</f>
        <v>Online</v>
      </c>
      <c r="F312" t="str">
        <f>PROPER(TRIM(Raw_Data!F312))</f>
        <v>Smb</v>
      </c>
      <c r="G312" t="str">
        <f>PROPER(TRIM(Raw_Data!G312))</f>
        <v>Keyboard</v>
      </c>
      <c r="H312" t="str">
        <f>PROPER(TRIM(Raw_Data!H312))</f>
        <v>Keyboard Office</v>
      </c>
      <c r="I312">
        <f>IFERROR(MAX(0,VALUE(Raw_Data!I312)),0)</f>
        <v>7</v>
      </c>
      <c r="J312" s="13">
        <f>IFERROR(VALUE(Raw_Data!J312),0)</f>
        <v>4403</v>
      </c>
      <c r="K312" s="14">
        <f>IFERROR(VALUE(Raw_Data!K312),0)</f>
        <v>0.02</v>
      </c>
      <c r="L312" t="str">
        <f>PROPER(TRIM(Raw_Data!L312))</f>
        <v>Delivered</v>
      </c>
      <c r="M312" s="13">
        <f t="shared" si="32"/>
        <v>30821</v>
      </c>
      <c r="N312" s="13">
        <f t="shared" si="33"/>
        <v>616.42</v>
      </c>
      <c r="O312" s="13">
        <f t="shared" si="34"/>
        <v>30204.58</v>
      </c>
      <c r="P312" s="13">
        <f t="shared" si="35"/>
        <v>17876.18</v>
      </c>
      <c r="Q312" s="13">
        <f t="shared" si="36"/>
        <v>12328.4</v>
      </c>
      <c r="R312" s="10">
        <f t="shared" si="37"/>
        <v>0.408163265306122</v>
      </c>
      <c r="S312" t="str">
        <f t="shared" si="38"/>
        <v>Jan-2026</v>
      </c>
      <c r="T312" t="str">
        <f t="shared" si="39"/>
        <v>OK</v>
      </c>
    </row>
    <row r="313" spans="1:20">
      <c r="A313" t="str">
        <f>TRIM(Raw_Data!A313)</f>
        <v>ORD-10312</v>
      </c>
      <c r="B313" s="12">
        <f>IFERROR(IF(ISNUMBER(Raw_Data!B313),Raw_Data!B313,DATEVALUE(Raw_Data!B313)),"")</f>
        <v>46207</v>
      </c>
      <c r="C313" t="str">
        <f>PROPER(TRIM(Raw_Data!C313))</f>
        <v>Meghana</v>
      </c>
      <c r="D313" t="str">
        <f>IF(TRIM(Raw_Data!D313)="Bangalore","Bengaluru",IF(TRIM(Raw_Data!D313)="Mysore","Mysuru",IF(TRIM(Raw_Data!D313)="Cochin","Kochi",PROPER(TRIM(Raw_Data!D313)))))</f>
        <v>Kochi</v>
      </c>
      <c r="E313" t="str">
        <f>PROPER(TRIM(Raw_Data!E313))</f>
        <v>Online</v>
      </c>
      <c r="F313" t="str">
        <f>PROPER(TRIM(Raw_Data!F313))</f>
        <v>Consumer</v>
      </c>
      <c r="G313" t="str">
        <f>PROPER(TRIM(Raw_Data!G313))</f>
        <v>Monitor</v>
      </c>
      <c r="H313" t="str">
        <f>PROPER(TRIM(Raw_Data!H313))</f>
        <v>Monitor 27</v>
      </c>
      <c r="I313">
        <f>IFERROR(MAX(0,VALUE(Raw_Data!I313)),0)</f>
        <v>6</v>
      </c>
      <c r="J313" s="13">
        <f>IFERROR(VALUE(Raw_Data!J313),0)</f>
        <v>12972</v>
      </c>
      <c r="K313" s="14">
        <f>IFERROR(VALUE(Raw_Data!K313),0)</f>
        <v>0.08</v>
      </c>
      <c r="L313" t="str">
        <f>PROPER(TRIM(Raw_Data!L313))</f>
        <v>Pending</v>
      </c>
      <c r="M313" s="13">
        <f t="shared" si="32"/>
        <v>77832</v>
      </c>
      <c r="N313" s="13">
        <f t="shared" si="33"/>
        <v>6226.56</v>
      </c>
      <c r="O313" s="13">
        <f t="shared" si="34"/>
        <v>71605.44</v>
      </c>
      <c r="P313" s="13">
        <f t="shared" si="35"/>
        <v>54482.4</v>
      </c>
      <c r="Q313" s="13">
        <f t="shared" si="36"/>
        <v>17123.04</v>
      </c>
      <c r="R313" s="10">
        <f t="shared" si="37"/>
        <v>0.239130434782609</v>
      </c>
      <c r="S313" t="str">
        <f t="shared" si="38"/>
        <v>Jul-2026</v>
      </c>
      <c r="T313" t="str">
        <f t="shared" si="39"/>
        <v>OK</v>
      </c>
    </row>
    <row r="314" spans="1:20">
      <c r="A314" t="str">
        <f>TRIM(Raw_Data!A314)</f>
        <v>ORD-10313</v>
      </c>
      <c r="B314" s="12">
        <f>IFERROR(IF(ISNUMBER(Raw_Data!B314),Raw_Data!B314,DATEVALUE(Raw_Data!B314)),"")</f>
        <v>46194</v>
      </c>
      <c r="C314" t="str">
        <f>PROPER(TRIM(Raw_Data!C314))</f>
        <v>Asha</v>
      </c>
      <c r="D314" t="str">
        <f>IF(TRIM(Raw_Data!D314)="Bangalore","Bengaluru",IF(TRIM(Raw_Data!D314)="Mysore","Mysuru",IF(TRIM(Raw_Data!D314)="Cochin","Kochi",PROPER(TRIM(Raw_Data!D314)))))</f>
        <v>Mysuru</v>
      </c>
      <c r="E314" t="str">
        <f>PROPER(TRIM(Raw_Data!E314))</f>
        <v>Online</v>
      </c>
      <c r="F314" t="str">
        <f>PROPER(TRIM(Raw_Data!F314))</f>
        <v>Enterprise</v>
      </c>
      <c r="G314" t="str">
        <f>PROPER(TRIM(Raw_Data!G314))</f>
        <v>Mouse</v>
      </c>
      <c r="H314" t="str">
        <f>PROPER(TRIM(Raw_Data!H314))</f>
        <v>Mouse Ergonomic</v>
      </c>
      <c r="I314">
        <f>IFERROR(MAX(0,VALUE(Raw_Data!I314)),0)</f>
        <v>8</v>
      </c>
      <c r="J314" s="13">
        <f>IFERROR(VALUE(Raw_Data!J314),0)</f>
        <v>2492</v>
      </c>
      <c r="K314" s="14">
        <f>IFERROR(VALUE(Raw_Data!K314),0)</f>
        <v>0.05</v>
      </c>
      <c r="L314" t="str">
        <f>PROPER(TRIM(Raw_Data!L314))</f>
        <v>Delivered</v>
      </c>
      <c r="M314" s="13">
        <f t="shared" si="32"/>
        <v>19936</v>
      </c>
      <c r="N314" s="13">
        <f t="shared" si="33"/>
        <v>996.8</v>
      </c>
      <c r="O314" s="13">
        <f t="shared" si="34"/>
        <v>18939.2</v>
      </c>
      <c r="P314" s="13">
        <f t="shared" si="35"/>
        <v>10964.8</v>
      </c>
      <c r="Q314" s="13">
        <f t="shared" si="36"/>
        <v>7974.4</v>
      </c>
      <c r="R314" s="10">
        <f t="shared" si="37"/>
        <v>0.421052631578947</v>
      </c>
      <c r="S314" t="str">
        <f t="shared" si="38"/>
        <v>Jun-2026</v>
      </c>
      <c r="T314" t="str">
        <f t="shared" si="39"/>
        <v>OK</v>
      </c>
    </row>
    <row r="315" spans="1:20">
      <c r="A315" t="str">
        <f>TRIM(Raw_Data!A315)</f>
        <v>ORD-10314</v>
      </c>
      <c r="B315" s="12">
        <f>IFERROR(IF(ISNUMBER(Raw_Data!B315),Raw_Data!B315,DATEVALUE(Raw_Data!B315)),"")</f>
        <v>46201</v>
      </c>
      <c r="C315" t="str">
        <f>PROPER(TRIM(Raw_Data!C315))</f>
        <v>Meghana</v>
      </c>
      <c r="D315" t="str">
        <f>IF(TRIM(Raw_Data!D315)="Bangalore","Bengaluru",IF(TRIM(Raw_Data!D315)="Mysore","Mysuru",IF(TRIM(Raw_Data!D315)="Cochin","Kochi",PROPER(TRIM(Raw_Data!D315)))))</f>
        <v>Chennai</v>
      </c>
      <c r="E315" t="str">
        <f>PROPER(TRIM(Raw_Data!E315))</f>
        <v>Online</v>
      </c>
      <c r="F315" t="str">
        <f>PROPER(TRIM(Raw_Data!F315))</f>
        <v>Smb</v>
      </c>
      <c r="G315" t="str">
        <f>PROPER(TRIM(Raw_Data!G315))</f>
        <v>Laptop</v>
      </c>
      <c r="H315" t="str">
        <f>PROPER(TRIM(Raw_Data!H315))</f>
        <v>Business Laptop 15</v>
      </c>
      <c r="I315">
        <f>IFERROR(MAX(0,VALUE(Raw_Data!I315)),0)</f>
        <v>1</v>
      </c>
      <c r="J315" s="13">
        <f>IFERROR(VALUE(Raw_Data!J315),0)</f>
        <v>70599</v>
      </c>
      <c r="K315" s="14">
        <f>IFERROR(VALUE(Raw_Data!K315),0)</f>
        <v>0</v>
      </c>
      <c r="L315" t="str">
        <f>PROPER(TRIM(Raw_Data!L315))</f>
        <v>Pending</v>
      </c>
      <c r="M315" s="13">
        <f t="shared" si="32"/>
        <v>70599</v>
      </c>
      <c r="N315" s="13">
        <f t="shared" si="33"/>
        <v>0</v>
      </c>
      <c r="O315" s="13">
        <f t="shared" si="34"/>
        <v>70599</v>
      </c>
      <c r="P315" s="13">
        <f t="shared" si="35"/>
        <v>55067.22</v>
      </c>
      <c r="Q315" s="13">
        <f t="shared" si="36"/>
        <v>15531.78</v>
      </c>
      <c r="R315" s="10">
        <f t="shared" si="37"/>
        <v>0.22</v>
      </c>
      <c r="S315" t="str">
        <f t="shared" si="38"/>
        <v>Jun-2026</v>
      </c>
      <c r="T315" t="str">
        <f t="shared" si="39"/>
        <v>OK</v>
      </c>
    </row>
    <row r="316" spans="1:20">
      <c r="A316" t="str">
        <f>TRIM(Raw_Data!A316)</f>
        <v>ORD-10315</v>
      </c>
      <c r="B316" s="12" t="str">
        <f>IFERROR(IF(ISNUMBER(Raw_Data!B316),Raw_Data!B316,DATEVALUE(Raw_Data!B316)),"")</f>
        <v/>
      </c>
      <c r="C316" t="str">
        <f>PROPER(TRIM(Raw_Data!C316))</f>
        <v>Kiran</v>
      </c>
      <c r="D316" t="str">
        <f>IF(TRIM(Raw_Data!D316)="Bangalore","Bengaluru",IF(TRIM(Raw_Data!D316)="Mysore","Mysuru",IF(TRIM(Raw_Data!D316)="Cochin","Kochi",PROPER(TRIM(Raw_Data!D316)))))</f>
        <v>Kochi</v>
      </c>
      <c r="E316" t="str">
        <f>PROPER(TRIM(Raw_Data!E316))</f>
        <v>Online</v>
      </c>
      <c r="F316" t="str">
        <f>PROPER(TRIM(Raw_Data!F316))</f>
        <v>Enterprise</v>
      </c>
      <c r="G316" t="str">
        <f>PROPER(TRIM(Raw_Data!G316))</f>
        <v>Monitor</v>
      </c>
      <c r="H316" t="str">
        <f>PROPER(TRIM(Raw_Data!H316))</f>
        <v>Monitor 24</v>
      </c>
      <c r="I316">
        <f>IFERROR(MAX(0,VALUE(Raw_Data!I316)),0)</f>
        <v>4</v>
      </c>
      <c r="J316" s="13">
        <f>IFERROR(VALUE(Raw_Data!J316),0)</f>
        <v>12528</v>
      </c>
      <c r="K316" s="14">
        <f>IFERROR(VALUE(Raw_Data!K316),0)</f>
        <v>0.1</v>
      </c>
      <c r="L316" t="str">
        <f>PROPER(TRIM(Raw_Data!L316))</f>
        <v>Delivered</v>
      </c>
      <c r="M316" s="13">
        <f t="shared" si="32"/>
        <v>50112</v>
      </c>
      <c r="N316" s="13">
        <f t="shared" si="33"/>
        <v>5011.2</v>
      </c>
      <c r="O316" s="13">
        <f t="shared" si="34"/>
        <v>45100.8</v>
      </c>
      <c r="P316" s="13">
        <f t="shared" si="35"/>
        <v>35078.4</v>
      </c>
      <c r="Q316" s="13">
        <f t="shared" si="36"/>
        <v>10022.4</v>
      </c>
      <c r="R316" s="10">
        <f t="shared" si="37"/>
        <v>0.222222222222222</v>
      </c>
      <c r="S316" t="str">
        <f t="shared" si="38"/>
        <v/>
      </c>
      <c r="T316" t="str">
        <f t="shared" si="39"/>
        <v>CHECK</v>
      </c>
    </row>
    <row r="317" spans="1:20">
      <c r="A317" t="str">
        <f>TRIM(Raw_Data!A317)</f>
        <v>ORD-10316</v>
      </c>
      <c r="B317" s="12">
        <f>IFERROR(IF(ISNUMBER(Raw_Data!B317),Raw_Data!B317,DATEVALUE(Raw_Data!B317)),"")</f>
        <v>46034</v>
      </c>
      <c r="C317" t="str">
        <f>PROPER(TRIM(Raw_Data!C317))</f>
        <v>Kiran</v>
      </c>
      <c r="D317" t="str">
        <f>IF(TRIM(Raw_Data!D317)="Bangalore","Bengaluru",IF(TRIM(Raw_Data!D317)="Mysore","Mysuru",IF(TRIM(Raw_Data!D317)="Cochin","Kochi",PROPER(TRIM(Raw_Data!D317)))))</f>
        <v>Kochi</v>
      </c>
      <c r="E317" t="str">
        <f>PROPER(TRIM(Raw_Data!E317))</f>
        <v>Corporate</v>
      </c>
      <c r="F317" t="str">
        <f>PROPER(TRIM(Raw_Data!F317))</f>
        <v>Smb</v>
      </c>
      <c r="G317" t="str">
        <f>PROPER(TRIM(Raw_Data!G317))</f>
        <v>Laptop</v>
      </c>
      <c r="H317" t="str">
        <f>PROPER(TRIM(Raw_Data!H317))</f>
        <v>Laptop Pro 14</v>
      </c>
      <c r="I317">
        <f>IFERROR(MAX(0,VALUE(Raw_Data!I317)),0)</f>
        <v>0</v>
      </c>
      <c r="J317" s="13">
        <f>IFERROR(VALUE(Raw_Data!J317),0)</f>
        <v>64761</v>
      </c>
      <c r="K317" s="14">
        <f>IFERROR(VALUE(Raw_Data!K317),0)</f>
        <v>0.05</v>
      </c>
      <c r="L317" t="str">
        <f>PROPER(TRIM(Raw_Data!L317))</f>
        <v>Delivered</v>
      </c>
      <c r="M317" s="13">
        <f t="shared" si="32"/>
        <v>0</v>
      </c>
      <c r="N317" s="13">
        <f t="shared" si="33"/>
        <v>0</v>
      </c>
      <c r="O317" s="13">
        <f t="shared" si="34"/>
        <v>0</v>
      </c>
      <c r="P317" s="13">
        <f t="shared" si="35"/>
        <v>0</v>
      </c>
      <c r="Q317" s="13">
        <f t="shared" si="36"/>
        <v>0</v>
      </c>
      <c r="R317" s="10">
        <f t="shared" si="37"/>
        <v>0</v>
      </c>
      <c r="S317" t="str">
        <f t="shared" si="38"/>
        <v>Jan-2026</v>
      </c>
      <c r="T317" t="str">
        <f t="shared" si="39"/>
        <v>CHECK</v>
      </c>
    </row>
    <row r="318" spans="1:20">
      <c r="A318" t="str">
        <f>TRIM(Raw_Data!A318)</f>
        <v>ORD-10317</v>
      </c>
      <c r="B318" s="12">
        <f>IFERROR(IF(ISNUMBER(Raw_Data!B318),Raw_Data!B318,DATEVALUE(Raw_Data!B318)),"")</f>
        <v>46173</v>
      </c>
      <c r="C318" t="str">
        <f>PROPER(TRIM(Raw_Data!C318))</f>
        <v>Bhoomika</v>
      </c>
      <c r="D318" t="str">
        <f>IF(TRIM(Raw_Data!D318)="Bangalore","Bengaluru",IF(TRIM(Raw_Data!D318)="Mysore","Mysuru",IF(TRIM(Raw_Data!D318)="Cochin","Kochi",PROPER(TRIM(Raw_Data!D318)))))</f>
        <v>Bengaluru</v>
      </c>
      <c r="E318" t="str">
        <f>PROPER(TRIM(Raw_Data!E318))</f>
        <v>Corporate</v>
      </c>
      <c r="F318" t="str">
        <f>PROPER(TRIM(Raw_Data!F318))</f>
        <v>Consumer</v>
      </c>
      <c r="G318" t="str">
        <f>PROPER(TRIM(Raw_Data!G318))</f>
        <v>Laptop</v>
      </c>
      <c r="H318" t="str">
        <f>PROPER(TRIM(Raw_Data!H318))</f>
        <v>Laptop Pro 14</v>
      </c>
      <c r="I318">
        <f>IFERROR(MAX(0,VALUE(Raw_Data!I318)),0)</f>
        <v>2</v>
      </c>
      <c r="J318" s="13">
        <f>IFERROR(VALUE(Raw_Data!J318),0)</f>
        <v>53130</v>
      </c>
      <c r="K318" s="14">
        <f>IFERROR(VALUE(Raw_Data!K318),0)</f>
        <v>0</v>
      </c>
      <c r="L318" t="str">
        <f>PROPER(TRIM(Raw_Data!L318))</f>
        <v>Delivered</v>
      </c>
      <c r="M318" s="13">
        <f t="shared" si="32"/>
        <v>106260</v>
      </c>
      <c r="N318" s="13">
        <f t="shared" si="33"/>
        <v>0</v>
      </c>
      <c r="O318" s="13">
        <f t="shared" si="34"/>
        <v>106260</v>
      </c>
      <c r="P318" s="13">
        <f t="shared" si="35"/>
        <v>82882.8</v>
      </c>
      <c r="Q318" s="13">
        <f t="shared" si="36"/>
        <v>23377.2</v>
      </c>
      <c r="R318" s="10">
        <f t="shared" si="37"/>
        <v>0.22</v>
      </c>
      <c r="S318" t="str">
        <f t="shared" si="38"/>
        <v>May-2026</v>
      </c>
      <c r="T318" t="str">
        <f t="shared" si="39"/>
        <v>OK</v>
      </c>
    </row>
    <row r="319" spans="1:20">
      <c r="A319" t="str">
        <f>TRIM(Raw_Data!A319)</f>
        <v>ORD-10318</v>
      </c>
      <c r="B319" s="12">
        <f>IFERROR(IF(ISNUMBER(Raw_Data!B319),Raw_Data!B319,DATEVALUE(Raw_Data!B319)),"")</f>
        <v>46188</v>
      </c>
      <c r="C319" t="str">
        <f>PROPER(TRIM(Raw_Data!C319))</f>
        <v>Meghana</v>
      </c>
      <c r="D319" t="str">
        <f>IF(TRIM(Raw_Data!D319)="Bangalore","Bengaluru",IF(TRIM(Raw_Data!D319)="Mysore","Mysuru",IF(TRIM(Raw_Data!D319)="Cochin","Kochi",PROPER(TRIM(Raw_Data!D319)))))</f>
        <v>Pune</v>
      </c>
      <c r="E319" t="str">
        <f>PROPER(TRIM(Raw_Data!E319))</f>
        <v>Retail Store</v>
      </c>
      <c r="F319" t="str">
        <f>PROPER(TRIM(Raw_Data!F319))</f>
        <v>Consumer</v>
      </c>
      <c r="G319" t="str">
        <f>PROPER(TRIM(Raw_Data!G319))</f>
        <v>Keyboard</v>
      </c>
      <c r="H319" t="str">
        <f>PROPER(TRIM(Raw_Data!H319))</f>
        <v>Keyboard Wireless</v>
      </c>
      <c r="I319">
        <f>IFERROR(MAX(0,VALUE(Raw_Data!I319)),0)</f>
        <v>1</v>
      </c>
      <c r="J319" s="13">
        <f>IFERROR(VALUE(Raw_Data!J319),0)</f>
        <v>3184</v>
      </c>
      <c r="K319" s="14">
        <f>IFERROR(VALUE(Raw_Data!K319),0)</f>
        <v>0.15</v>
      </c>
      <c r="L319" t="str">
        <f>PROPER(TRIM(Raw_Data!L319))</f>
        <v>Delivered</v>
      </c>
      <c r="M319" s="13">
        <f t="shared" si="32"/>
        <v>3184</v>
      </c>
      <c r="N319" s="13">
        <f t="shared" si="33"/>
        <v>477.6</v>
      </c>
      <c r="O319" s="13">
        <f t="shared" si="34"/>
        <v>2706.4</v>
      </c>
      <c r="P319" s="13">
        <f t="shared" si="35"/>
        <v>1846.72</v>
      </c>
      <c r="Q319" s="13">
        <f t="shared" si="36"/>
        <v>859.68</v>
      </c>
      <c r="R319" s="10">
        <f t="shared" si="37"/>
        <v>0.31764705882353</v>
      </c>
      <c r="S319" t="str">
        <f t="shared" si="38"/>
        <v>Jun-2026</v>
      </c>
      <c r="T319" t="str">
        <f t="shared" si="39"/>
        <v>OK</v>
      </c>
    </row>
    <row r="320" spans="1:20">
      <c r="A320" t="str">
        <f>TRIM(Raw_Data!A320)</f>
        <v>ORD-10319</v>
      </c>
      <c r="B320" s="12">
        <f>IFERROR(IF(ISNUMBER(Raw_Data!B320),Raw_Data!B320,DATEVALUE(Raw_Data!B320)),"")</f>
        <v>46235</v>
      </c>
      <c r="C320" t="str">
        <f>PROPER(TRIM(Raw_Data!C320))</f>
        <v>Meghana</v>
      </c>
      <c r="D320" t="str">
        <f>IF(TRIM(Raw_Data!D320)="Bangalore","Bengaluru",IF(TRIM(Raw_Data!D320)="Mysore","Mysuru",IF(TRIM(Raw_Data!D320)="Cochin","Kochi",PROPER(TRIM(Raw_Data!D320)))))</f>
        <v>Chennai</v>
      </c>
      <c r="E320" t="str">
        <f>PROPER(TRIM(Raw_Data!E320))</f>
        <v>Corporate</v>
      </c>
      <c r="F320" t="str">
        <f>PROPER(TRIM(Raw_Data!F320))</f>
        <v>Enterprise</v>
      </c>
      <c r="G320" t="str">
        <f>PROPER(TRIM(Raw_Data!G320))</f>
        <v>Monitor</v>
      </c>
      <c r="H320" t="str">
        <f>PROPER(TRIM(Raw_Data!H320))</f>
        <v>Monitor 24</v>
      </c>
      <c r="I320">
        <f>IFERROR(MAX(0,VALUE(Raw_Data!I320)),0)</f>
        <v>4</v>
      </c>
      <c r="J320" s="13">
        <f>IFERROR(VALUE(Raw_Data!J320),0)</f>
        <v>24305</v>
      </c>
      <c r="K320" s="14">
        <f>IFERROR(VALUE(Raw_Data!K320),0)</f>
        <v>0.02</v>
      </c>
      <c r="L320" t="str">
        <f>PROPER(TRIM(Raw_Data!L320))</f>
        <v>Pending</v>
      </c>
      <c r="M320" s="13">
        <f t="shared" si="32"/>
        <v>97220</v>
      </c>
      <c r="N320" s="13">
        <f t="shared" si="33"/>
        <v>1944.4</v>
      </c>
      <c r="O320" s="13">
        <f t="shared" si="34"/>
        <v>95275.6</v>
      </c>
      <c r="P320" s="13">
        <f t="shared" si="35"/>
        <v>68054</v>
      </c>
      <c r="Q320" s="13">
        <f t="shared" si="36"/>
        <v>27221.6</v>
      </c>
      <c r="R320" s="10">
        <f t="shared" si="37"/>
        <v>0.285714285714286</v>
      </c>
      <c r="S320" t="str">
        <f t="shared" si="38"/>
        <v>Aug-2026</v>
      </c>
      <c r="T320" t="str">
        <f t="shared" si="39"/>
        <v>OK</v>
      </c>
    </row>
    <row r="321" spans="1:20">
      <c r="A321" t="str">
        <f>TRIM(Raw_Data!A321)</f>
        <v>ORD-10320</v>
      </c>
      <c r="B321" s="12">
        <f>IFERROR(IF(ISNUMBER(Raw_Data!B321),Raw_Data!B321,DATEVALUE(Raw_Data!B321)),"")</f>
        <v>46226</v>
      </c>
      <c r="C321" t="str">
        <f>PROPER(TRIM(Raw_Data!C321))</f>
        <v>Kiran</v>
      </c>
      <c r="D321" t="str">
        <f>IF(TRIM(Raw_Data!D321)="Bangalore","Bengaluru",IF(TRIM(Raw_Data!D321)="Mysore","Mysuru",IF(TRIM(Raw_Data!D321)="Cochin","Kochi",PROPER(TRIM(Raw_Data!D321)))))</f>
        <v>Kochi</v>
      </c>
      <c r="E321" t="str">
        <f>PROPER(TRIM(Raw_Data!E321))</f>
        <v>Retail Store</v>
      </c>
      <c r="F321" t="str">
        <f>PROPER(TRIM(Raw_Data!F321))</f>
        <v>Enterprise</v>
      </c>
      <c r="G321" t="str">
        <f>PROPER(TRIM(Raw_Data!G321))</f>
        <v>Mouse</v>
      </c>
      <c r="H321" t="str">
        <f>PROPER(TRIM(Raw_Data!H321))</f>
        <v>Mouse Wireless</v>
      </c>
      <c r="I321">
        <f>IFERROR(MAX(0,VALUE(Raw_Data!I321)),0)</f>
        <v>0</v>
      </c>
      <c r="J321" s="13">
        <f>IFERROR(VALUE(Raw_Data!J321),0)</f>
        <v>3137</v>
      </c>
      <c r="K321" s="14">
        <f>IFERROR(VALUE(Raw_Data!K321),0)</f>
        <v>0.1</v>
      </c>
      <c r="L321" t="str">
        <f>PROPER(TRIM(Raw_Data!L321))</f>
        <v>Returned</v>
      </c>
      <c r="M321" s="13">
        <f t="shared" si="32"/>
        <v>0</v>
      </c>
      <c r="N321" s="13">
        <f t="shared" si="33"/>
        <v>0</v>
      </c>
      <c r="O321" s="13">
        <f t="shared" si="34"/>
        <v>0</v>
      </c>
      <c r="P321" s="13">
        <f t="shared" si="35"/>
        <v>0</v>
      </c>
      <c r="Q321" s="13">
        <f t="shared" si="36"/>
        <v>0</v>
      </c>
      <c r="R321" s="10">
        <f t="shared" si="37"/>
        <v>0</v>
      </c>
      <c r="S321" t="str">
        <f t="shared" si="38"/>
        <v>Jul-2026</v>
      </c>
      <c r="T321" t="str">
        <f t="shared" si="39"/>
        <v>CHECK</v>
      </c>
    </row>
    <row r="322" spans="1:20">
      <c r="A322" t="str">
        <f>TRIM(Raw_Data!A322)</f>
        <v>ORD-10321</v>
      </c>
      <c r="B322" s="12">
        <f>IFERROR(IF(ISNUMBER(Raw_Data!B322),Raw_Data!B322,DATEVALUE(Raw_Data!B322)),"")</f>
        <v>46213</v>
      </c>
      <c r="C322" t="str">
        <f>PROPER(TRIM(Raw_Data!C322))</f>
        <v>Kiran</v>
      </c>
      <c r="D322" t="str">
        <f>IF(TRIM(Raw_Data!D322)="Bangalore","Bengaluru",IF(TRIM(Raw_Data!D322)="Mysore","Mysuru",IF(TRIM(Raw_Data!D322)="Cochin","Kochi",PROPER(TRIM(Raw_Data!D322)))))</f>
        <v>Mysuru</v>
      </c>
      <c r="E322" t="str">
        <f>PROPER(TRIM(Raw_Data!E322))</f>
        <v>Corporate</v>
      </c>
      <c r="F322" t="str">
        <f>PROPER(TRIM(Raw_Data!F322))</f>
        <v>Consumer</v>
      </c>
      <c r="G322" t="str">
        <f>PROPER(TRIM(Raw_Data!G322))</f>
        <v>Keyboard</v>
      </c>
      <c r="H322" t="str">
        <f>PROPER(TRIM(Raw_Data!H322))</f>
        <v>Keyboard Mechanical</v>
      </c>
      <c r="I322">
        <f>IFERROR(MAX(0,VALUE(Raw_Data!I322)),0)</f>
        <v>7</v>
      </c>
      <c r="J322" s="13">
        <f>IFERROR(VALUE(Raw_Data!J322),0)</f>
        <v>4548</v>
      </c>
      <c r="K322" s="14">
        <f>IFERROR(VALUE(Raw_Data!K322),0)</f>
        <v>0.1</v>
      </c>
      <c r="L322" t="str">
        <f>PROPER(TRIM(Raw_Data!L322))</f>
        <v>Delivered</v>
      </c>
      <c r="M322" s="13">
        <f t="shared" ref="M322:M385" si="40">I322*J322</f>
        <v>31836</v>
      </c>
      <c r="N322" s="13">
        <f t="shared" ref="N322:N385" si="41">M322*K322</f>
        <v>3183.6</v>
      </c>
      <c r="O322" s="13">
        <f t="shared" ref="O322:O385" si="42">M322-N322</f>
        <v>28652.4</v>
      </c>
      <c r="P322" s="13">
        <f t="shared" ref="P322:P385" si="43">M322*IF(G322="Laptop",0.78,IF(G322="Monitor",0.7,IF(G322="Keyboard",0.58,IF(G322="Mouse",0.55,0.6))))</f>
        <v>18464.88</v>
      </c>
      <c r="Q322" s="13">
        <f t="shared" ref="Q322:Q385" si="44">O322-P322</f>
        <v>10187.52</v>
      </c>
      <c r="R322" s="10">
        <f t="shared" ref="R322:R385" si="45">IFERROR(Q322/O322,0)</f>
        <v>0.355555555555556</v>
      </c>
      <c r="S322" t="str">
        <f t="shared" ref="S322:S385" si="46">IF(B322="","",TEXT(B322,"mmm-yyyy"))</f>
        <v>Jul-2026</v>
      </c>
      <c r="T322" t="str">
        <f t="shared" ref="T322:T385" si="47">IF(OR(A322="",B322="",I322&lt;=0,J322&lt;=0,L322=""),"CHECK","OK")</f>
        <v>OK</v>
      </c>
    </row>
    <row r="323" spans="1:20">
      <c r="A323" t="str">
        <f>TRIM(Raw_Data!A323)</f>
        <v>ORD-10322</v>
      </c>
      <c r="B323" s="12">
        <f>IFERROR(IF(ISNUMBER(Raw_Data!B323),Raw_Data!B323,DATEVALUE(Raw_Data!B323)),"")</f>
        <v>46184</v>
      </c>
      <c r="C323" t="str">
        <f>PROPER(TRIM(Raw_Data!C323))</f>
        <v>Kiran</v>
      </c>
      <c r="D323" t="str">
        <f>IF(TRIM(Raw_Data!D323)="Bangalore","Bengaluru",IF(TRIM(Raw_Data!D323)="Mysore","Mysuru",IF(TRIM(Raw_Data!D323)="Cochin","Kochi",PROPER(TRIM(Raw_Data!D323)))))</f>
        <v>Hyderabad</v>
      </c>
      <c r="E323" t="str">
        <f>PROPER(TRIM(Raw_Data!E323))</f>
        <v>Online</v>
      </c>
      <c r="F323" t="str">
        <f>PROPER(TRIM(Raw_Data!F323))</f>
        <v>Smb</v>
      </c>
      <c r="G323" t="str">
        <f>PROPER(TRIM(Raw_Data!G323))</f>
        <v>Laptop</v>
      </c>
      <c r="H323" t="str">
        <f>PROPER(TRIM(Raw_Data!H323))</f>
        <v>Business Laptop 15</v>
      </c>
      <c r="I323">
        <f>IFERROR(MAX(0,VALUE(Raw_Data!I323)),0)</f>
        <v>3</v>
      </c>
      <c r="J323" s="13">
        <f>IFERROR(VALUE(Raw_Data!J323),0)</f>
        <v>62126</v>
      </c>
      <c r="K323" s="14">
        <f>IFERROR(VALUE(Raw_Data!K323),0)</f>
        <v>0</v>
      </c>
      <c r="L323" t="str">
        <f>PROPER(TRIM(Raw_Data!L323))</f>
        <v>Delivered</v>
      </c>
      <c r="M323" s="13">
        <f t="shared" si="40"/>
        <v>186378</v>
      </c>
      <c r="N323" s="13">
        <f t="shared" si="41"/>
        <v>0</v>
      </c>
      <c r="O323" s="13">
        <f t="shared" si="42"/>
        <v>186378</v>
      </c>
      <c r="P323" s="13">
        <f t="shared" si="43"/>
        <v>145374.84</v>
      </c>
      <c r="Q323" s="13">
        <f t="shared" si="44"/>
        <v>41003.16</v>
      </c>
      <c r="R323" s="10">
        <f t="shared" si="45"/>
        <v>0.22</v>
      </c>
      <c r="S323" t="str">
        <f t="shared" si="46"/>
        <v>Jun-2026</v>
      </c>
      <c r="T323" t="str">
        <f t="shared" si="47"/>
        <v>OK</v>
      </c>
    </row>
    <row r="324" spans="1:20">
      <c r="A324" t="str">
        <f>TRIM(Raw_Data!A324)</f>
        <v>ORD-10323</v>
      </c>
      <c r="B324" s="12">
        <f>IFERROR(IF(ISNUMBER(Raw_Data!B324),Raw_Data!B324,DATEVALUE(Raw_Data!B324)),"")</f>
        <v>46128</v>
      </c>
      <c r="C324" t="str">
        <f>PROPER(TRIM(Raw_Data!C324))</f>
        <v>Asha</v>
      </c>
      <c r="D324" t="str">
        <f>IF(TRIM(Raw_Data!D324)="Bangalore","Bengaluru",IF(TRIM(Raw_Data!D324)="Mysore","Mysuru",IF(TRIM(Raw_Data!D324)="Cochin","Kochi",PROPER(TRIM(Raw_Data!D324)))))</f>
        <v>New Delhi</v>
      </c>
      <c r="E324" t="str">
        <f>PROPER(TRIM(Raw_Data!E324))</f>
        <v>Retail Store</v>
      </c>
      <c r="F324" t="str">
        <f>PROPER(TRIM(Raw_Data!F324))</f>
        <v>Consumer</v>
      </c>
      <c r="G324" t="str">
        <f>PROPER(TRIM(Raw_Data!G324))</f>
        <v>Laptop</v>
      </c>
      <c r="H324" t="str">
        <f>PROPER(TRIM(Raw_Data!H324))</f>
        <v>Laptop Pro 14</v>
      </c>
      <c r="I324">
        <f>IFERROR(MAX(0,VALUE(Raw_Data!I324)),0)</f>
        <v>5</v>
      </c>
      <c r="J324" s="13">
        <f>IFERROR(VALUE(Raw_Data!J324),0)</f>
        <v>54352</v>
      </c>
      <c r="K324" s="14">
        <f>IFERROR(VALUE(Raw_Data!K324),0)</f>
        <v>0</v>
      </c>
      <c r="L324" t="str">
        <f>PROPER(TRIM(Raw_Data!L324))</f>
        <v>Delivered</v>
      </c>
      <c r="M324" s="13">
        <f t="shared" si="40"/>
        <v>271760</v>
      </c>
      <c r="N324" s="13">
        <f t="shared" si="41"/>
        <v>0</v>
      </c>
      <c r="O324" s="13">
        <f t="shared" si="42"/>
        <v>271760</v>
      </c>
      <c r="P324" s="13">
        <f t="shared" si="43"/>
        <v>211972.8</v>
      </c>
      <c r="Q324" s="13">
        <f t="shared" si="44"/>
        <v>59787.2</v>
      </c>
      <c r="R324" s="10">
        <f t="shared" si="45"/>
        <v>0.22</v>
      </c>
      <c r="S324" t="str">
        <f t="shared" si="46"/>
        <v>Apr-2026</v>
      </c>
      <c r="T324" t="str">
        <f t="shared" si="47"/>
        <v>OK</v>
      </c>
    </row>
    <row r="325" spans="1:20">
      <c r="A325" t="str">
        <f>TRIM(Raw_Data!A325)</f>
        <v>ORD-10324</v>
      </c>
      <c r="B325" s="12">
        <f>IFERROR(IF(ISNUMBER(Raw_Data!B325),Raw_Data!B325,DATEVALUE(Raw_Data!B325)),"")</f>
        <v>46231</v>
      </c>
      <c r="C325" t="str">
        <f>PROPER(TRIM(Raw_Data!C325))</f>
        <v>Priya</v>
      </c>
      <c r="D325" t="str">
        <f>IF(TRIM(Raw_Data!D325)="Bangalore","Bengaluru",IF(TRIM(Raw_Data!D325)="Mysore","Mysuru",IF(TRIM(Raw_Data!D325)="Cochin","Kochi",PROPER(TRIM(Raw_Data!D325)))))</f>
        <v>Pune</v>
      </c>
      <c r="E325" t="str">
        <f>PROPER(TRIM(Raw_Data!E325))</f>
        <v>Online</v>
      </c>
      <c r="F325" t="str">
        <f>PROPER(TRIM(Raw_Data!F325))</f>
        <v>Enterprise</v>
      </c>
      <c r="G325" t="str">
        <f>PROPER(TRIM(Raw_Data!G325))</f>
        <v>Monitor</v>
      </c>
      <c r="H325" t="str">
        <f>PROPER(TRIM(Raw_Data!H325))</f>
        <v>Monitor 24</v>
      </c>
      <c r="I325">
        <f>IFERROR(MAX(0,VALUE(Raw_Data!I325)),0)</f>
        <v>8</v>
      </c>
      <c r="J325" s="13">
        <f>IFERROR(VALUE(Raw_Data!J325),0)</f>
        <v>0</v>
      </c>
      <c r="K325" s="14">
        <f>IFERROR(VALUE(Raw_Data!K325),0)</f>
        <v>0.15</v>
      </c>
      <c r="L325" t="str">
        <f>PROPER(TRIM(Raw_Data!L325))</f>
        <v>Cancelled</v>
      </c>
      <c r="M325" s="13">
        <f t="shared" si="40"/>
        <v>0</v>
      </c>
      <c r="N325" s="13">
        <f t="shared" si="41"/>
        <v>0</v>
      </c>
      <c r="O325" s="13">
        <f t="shared" si="42"/>
        <v>0</v>
      </c>
      <c r="P325" s="13">
        <f t="shared" si="43"/>
        <v>0</v>
      </c>
      <c r="Q325" s="13">
        <f t="shared" si="44"/>
        <v>0</v>
      </c>
      <c r="R325" s="10">
        <f t="shared" si="45"/>
        <v>0</v>
      </c>
      <c r="S325" t="str">
        <f t="shared" si="46"/>
        <v>Jul-2026</v>
      </c>
      <c r="T325" t="str">
        <f t="shared" si="47"/>
        <v>CHECK</v>
      </c>
    </row>
    <row r="326" spans="1:20">
      <c r="A326" t="str">
        <f>TRIM(Raw_Data!A326)</f>
        <v>ORD-10325</v>
      </c>
      <c r="B326" s="12">
        <f>IFERROR(IF(ISNUMBER(Raw_Data!B326),Raw_Data!B326,DATEVALUE(Raw_Data!B326)),"")</f>
        <v>46033</v>
      </c>
      <c r="C326" t="str">
        <f>PROPER(TRIM(Raw_Data!C326))</f>
        <v>Arjun</v>
      </c>
      <c r="D326" t="str">
        <f>IF(TRIM(Raw_Data!D326)="Bangalore","Bengaluru",IF(TRIM(Raw_Data!D326)="Mysore","Mysuru",IF(TRIM(Raw_Data!D326)="Cochin","Kochi",PROPER(TRIM(Raw_Data!D326)))))</f>
        <v>Bengaluru</v>
      </c>
      <c r="E326" t="str">
        <f>PROPER(TRIM(Raw_Data!E326))</f>
        <v>Retail Store</v>
      </c>
      <c r="F326" t="str">
        <f>PROPER(TRIM(Raw_Data!F326))</f>
        <v>Enterprise</v>
      </c>
      <c r="G326" t="str">
        <f>PROPER(TRIM(Raw_Data!G326))</f>
        <v>Laptop</v>
      </c>
      <c r="H326" t="str">
        <f>PROPER(TRIM(Raw_Data!H326))</f>
        <v>Laptop Pro 14</v>
      </c>
      <c r="I326">
        <f>IFERROR(MAX(0,VALUE(Raw_Data!I326)),0)</f>
        <v>0</v>
      </c>
      <c r="J326" s="13">
        <f>IFERROR(VALUE(Raw_Data!J326),0)</f>
        <v>69619</v>
      </c>
      <c r="K326" s="14">
        <f>IFERROR(VALUE(Raw_Data!K326),0)</f>
        <v>0.1</v>
      </c>
      <c r="L326" t="str">
        <f>PROPER(TRIM(Raw_Data!L326))</f>
        <v>Pending</v>
      </c>
      <c r="M326" s="13">
        <f t="shared" si="40"/>
        <v>0</v>
      </c>
      <c r="N326" s="13">
        <f t="shared" si="41"/>
        <v>0</v>
      </c>
      <c r="O326" s="13">
        <f t="shared" si="42"/>
        <v>0</v>
      </c>
      <c r="P326" s="13">
        <f t="shared" si="43"/>
        <v>0</v>
      </c>
      <c r="Q326" s="13">
        <f t="shared" si="44"/>
        <v>0</v>
      </c>
      <c r="R326" s="10">
        <f t="shared" si="45"/>
        <v>0</v>
      </c>
      <c r="S326" t="str">
        <f t="shared" si="46"/>
        <v>Jan-2026</v>
      </c>
      <c r="T326" t="str">
        <f t="shared" si="47"/>
        <v>CHECK</v>
      </c>
    </row>
    <row r="327" spans="1:20">
      <c r="A327" t="str">
        <f>TRIM(Raw_Data!A327)</f>
        <v>ORD-10326</v>
      </c>
      <c r="B327" s="12">
        <f>IFERROR(IF(ISNUMBER(Raw_Data!B327),Raw_Data!B327,DATEVALUE(Raw_Data!B327)),"")</f>
        <v>46259</v>
      </c>
      <c r="C327" t="str">
        <f>PROPER(TRIM(Raw_Data!C327))</f>
        <v>Asha</v>
      </c>
      <c r="D327" t="str">
        <f>IF(TRIM(Raw_Data!D327)="Bangalore","Bengaluru",IF(TRIM(Raw_Data!D327)="Mysore","Mysuru",IF(TRIM(Raw_Data!D327)="Cochin","Kochi",PROPER(TRIM(Raw_Data!D327)))))</f>
        <v>Chennai</v>
      </c>
      <c r="E327" t="str">
        <f>PROPER(TRIM(Raw_Data!E327))</f>
        <v>Retail Store</v>
      </c>
      <c r="F327" t="str">
        <f>PROPER(TRIM(Raw_Data!F327))</f>
        <v>Enterprise</v>
      </c>
      <c r="G327" t="str">
        <f>PROPER(TRIM(Raw_Data!G327))</f>
        <v>Monitor</v>
      </c>
      <c r="H327" t="str">
        <f>PROPER(TRIM(Raw_Data!H327))</f>
        <v>Monitor 24</v>
      </c>
      <c r="I327">
        <f>IFERROR(MAX(0,VALUE(Raw_Data!I327)),0)</f>
        <v>8</v>
      </c>
      <c r="J327" s="13">
        <f>IFERROR(VALUE(Raw_Data!J327),0)</f>
        <v>18157</v>
      </c>
      <c r="K327" s="14">
        <f>IFERROR(VALUE(Raw_Data!K327),0)</f>
        <v>0.1</v>
      </c>
      <c r="L327" t="str">
        <f>PROPER(TRIM(Raw_Data!L327))</f>
        <v>Pending</v>
      </c>
      <c r="M327" s="13">
        <f t="shared" si="40"/>
        <v>145256</v>
      </c>
      <c r="N327" s="13">
        <f t="shared" si="41"/>
        <v>14525.6</v>
      </c>
      <c r="O327" s="13">
        <f t="shared" si="42"/>
        <v>130730.4</v>
      </c>
      <c r="P327" s="13">
        <f t="shared" si="43"/>
        <v>101679.2</v>
      </c>
      <c r="Q327" s="13">
        <f t="shared" si="44"/>
        <v>29051.2</v>
      </c>
      <c r="R327" s="10">
        <f t="shared" si="45"/>
        <v>0.222222222222222</v>
      </c>
      <c r="S327" t="str">
        <f t="shared" si="46"/>
        <v>Aug-2026</v>
      </c>
      <c r="T327" t="str">
        <f t="shared" si="47"/>
        <v>OK</v>
      </c>
    </row>
    <row r="328" spans="1:20">
      <c r="A328" t="str">
        <f>TRIM(Raw_Data!A328)</f>
        <v>ORD-10327</v>
      </c>
      <c r="B328" s="12">
        <f>IFERROR(IF(ISNUMBER(Raw_Data!B328),Raw_Data!B328,DATEVALUE(Raw_Data!B328)),"")</f>
        <v>46264</v>
      </c>
      <c r="C328" t="str">
        <f>PROPER(TRIM(Raw_Data!C328))</f>
        <v>Bhoomika</v>
      </c>
      <c r="D328" t="str">
        <f>IF(TRIM(Raw_Data!D328)="Bangalore","Bengaluru",IF(TRIM(Raw_Data!D328)="Mysore","Mysuru",IF(TRIM(Raw_Data!D328)="Cochin","Kochi",PROPER(TRIM(Raw_Data!D328)))))</f>
        <v>Chennai</v>
      </c>
      <c r="E328" t="str">
        <f>PROPER(TRIM(Raw_Data!E328))</f>
        <v>Retail Store</v>
      </c>
      <c r="F328" t="str">
        <f>PROPER(TRIM(Raw_Data!F328))</f>
        <v>Enterprise</v>
      </c>
      <c r="G328" t="str">
        <f>PROPER(TRIM(Raw_Data!G328))</f>
        <v>Mouse</v>
      </c>
      <c r="H328" t="str">
        <f>PROPER(TRIM(Raw_Data!H328))</f>
        <v>Mouse Basic</v>
      </c>
      <c r="I328">
        <f>IFERROR(MAX(0,VALUE(Raw_Data!I328)),0)</f>
        <v>1</v>
      </c>
      <c r="J328" s="13">
        <f>IFERROR(VALUE(Raw_Data!J328),0)</f>
        <v>1286</v>
      </c>
      <c r="K328" s="14">
        <f>IFERROR(VALUE(Raw_Data!K328),0)</f>
        <v>0.02</v>
      </c>
      <c r="L328" t="str">
        <f>PROPER(TRIM(Raw_Data!L328))</f>
        <v>Pending</v>
      </c>
      <c r="M328" s="13">
        <f t="shared" si="40"/>
        <v>1286</v>
      </c>
      <c r="N328" s="13">
        <f t="shared" si="41"/>
        <v>25.72</v>
      </c>
      <c r="O328" s="13">
        <f t="shared" si="42"/>
        <v>1260.28</v>
      </c>
      <c r="P328" s="13">
        <f t="shared" si="43"/>
        <v>707.3</v>
      </c>
      <c r="Q328" s="13">
        <f t="shared" si="44"/>
        <v>552.98</v>
      </c>
      <c r="R328" s="10">
        <f t="shared" si="45"/>
        <v>0.438775510204082</v>
      </c>
      <c r="S328" t="str">
        <f t="shared" si="46"/>
        <v>Aug-2026</v>
      </c>
      <c r="T328" t="str">
        <f t="shared" si="47"/>
        <v>OK</v>
      </c>
    </row>
    <row r="329" spans="1:20">
      <c r="A329" t="str">
        <f>TRIM(Raw_Data!A329)</f>
        <v>ORD-10328</v>
      </c>
      <c r="B329" s="12">
        <f>IFERROR(IF(ISNUMBER(Raw_Data!B329),Raw_Data!B329,DATEVALUE(Raw_Data!B329)),"")</f>
        <v>46206</v>
      </c>
      <c r="C329" t="str">
        <f>PROPER(TRIM(Raw_Data!C329))</f>
        <v>Neha</v>
      </c>
      <c r="D329" t="str">
        <f>IF(TRIM(Raw_Data!D329)="Bangalore","Bengaluru",IF(TRIM(Raw_Data!D329)="Mysore","Mysuru",IF(TRIM(Raw_Data!D329)="Cochin","Kochi",PROPER(TRIM(Raw_Data!D329)))))</f>
        <v>Delhi</v>
      </c>
      <c r="E329" t="str">
        <f>PROPER(TRIM(Raw_Data!E329))</f>
        <v>Online</v>
      </c>
      <c r="F329" t="str">
        <f>PROPER(TRIM(Raw_Data!F329))</f>
        <v>Consumer</v>
      </c>
      <c r="G329" t="str">
        <f>PROPER(TRIM(Raw_Data!G329))</f>
        <v>Laptop</v>
      </c>
      <c r="H329" t="str">
        <f>PROPER(TRIM(Raw_Data!H329))</f>
        <v>Laptop Pro 14</v>
      </c>
      <c r="I329">
        <f>IFERROR(MAX(0,VALUE(Raw_Data!I329)),0)</f>
        <v>8</v>
      </c>
      <c r="J329" s="13">
        <f>IFERROR(VALUE(Raw_Data!J329),0)</f>
        <v>70132</v>
      </c>
      <c r="K329" s="14">
        <f>IFERROR(VALUE(Raw_Data!K329),0)</f>
        <v>0.15</v>
      </c>
      <c r="L329" t="str">
        <f>PROPER(TRIM(Raw_Data!L329))</f>
        <v>Delivered</v>
      </c>
      <c r="M329" s="13">
        <f t="shared" si="40"/>
        <v>561056</v>
      </c>
      <c r="N329" s="13">
        <f t="shared" si="41"/>
        <v>84158.4</v>
      </c>
      <c r="O329" s="13">
        <f t="shared" si="42"/>
        <v>476897.6</v>
      </c>
      <c r="P329" s="13">
        <f t="shared" si="43"/>
        <v>437623.68</v>
      </c>
      <c r="Q329" s="13">
        <f t="shared" si="44"/>
        <v>39273.92</v>
      </c>
      <c r="R329" s="10">
        <f t="shared" si="45"/>
        <v>0.0823529411764706</v>
      </c>
      <c r="S329" t="str">
        <f t="shared" si="46"/>
        <v>Jul-2026</v>
      </c>
      <c r="T329" t="str">
        <f t="shared" si="47"/>
        <v>OK</v>
      </c>
    </row>
    <row r="330" spans="1:20">
      <c r="A330" t="str">
        <f>TRIM(Raw_Data!A330)</f>
        <v>ORD-10329</v>
      </c>
      <c r="B330" s="12">
        <f>IFERROR(IF(ISNUMBER(Raw_Data!B330),Raw_Data!B330,DATEVALUE(Raw_Data!B330)),"")</f>
        <v>46229</v>
      </c>
      <c r="C330" t="str">
        <f>PROPER(TRIM(Raw_Data!C330))</f>
        <v>Ravi</v>
      </c>
      <c r="D330" t="str">
        <f>IF(TRIM(Raw_Data!D330)="Bangalore","Bengaluru",IF(TRIM(Raw_Data!D330)="Mysore","Mysuru",IF(TRIM(Raw_Data!D330)="Cochin","Kochi",PROPER(TRIM(Raw_Data!D330)))))</f>
        <v>Mumbai</v>
      </c>
      <c r="E330" t="str">
        <f>PROPER(TRIM(Raw_Data!E330))</f>
        <v>Retail Store</v>
      </c>
      <c r="F330" t="str">
        <f>PROPER(TRIM(Raw_Data!F330))</f>
        <v>Consumer</v>
      </c>
      <c r="G330" t="str">
        <f>PROPER(TRIM(Raw_Data!G330))</f>
        <v>Monitor</v>
      </c>
      <c r="H330" t="str">
        <f>PROPER(TRIM(Raw_Data!H330))</f>
        <v>Monitor 24</v>
      </c>
      <c r="I330">
        <f>IFERROR(MAX(0,VALUE(Raw_Data!I330)),0)</f>
        <v>6</v>
      </c>
      <c r="J330" s="13">
        <f>IFERROR(VALUE(Raw_Data!J330),0)</f>
        <v>18534</v>
      </c>
      <c r="K330" s="14">
        <f>IFERROR(VALUE(Raw_Data!K330),0)</f>
        <v>0.15</v>
      </c>
      <c r="L330" t="str">
        <f>PROPER(TRIM(Raw_Data!L330))</f>
        <v>Cancelled</v>
      </c>
      <c r="M330" s="13">
        <f t="shared" si="40"/>
        <v>111204</v>
      </c>
      <c r="N330" s="13">
        <f t="shared" si="41"/>
        <v>16680.6</v>
      </c>
      <c r="O330" s="13">
        <f t="shared" si="42"/>
        <v>94523.4</v>
      </c>
      <c r="P330" s="13">
        <f t="shared" si="43"/>
        <v>77842.8</v>
      </c>
      <c r="Q330" s="13">
        <f t="shared" si="44"/>
        <v>16680.6</v>
      </c>
      <c r="R330" s="10">
        <f t="shared" si="45"/>
        <v>0.176470588235294</v>
      </c>
      <c r="S330" t="str">
        <f t="shared" si="46"/>
        <v>Jul-2026</v>
      </c>
      <c r="T330" t="str">
        <f t="shared" si="47"/>
        <v>OK</v>
      </c>
    </row>
    <row r="331" spans="1:20">
      <c r="A331" t="str">
        <f>TRIM(Raw_Data!A331)</f>
        <v>ORD-10330</v>
      </c>
      <c r="B331" s="12">
        <f>IFERROR(IF(ISNUMBER(Raw_Data!B331),Raw_Data!B331,DATEVALUE(Raw_Data!B331)),"")</f>
        <v>46226</v>
      </c>
      <c r="C331" t="str">
        <f>PROPER(TRIM(Raw_Data!C331))</f>
        <v>Neha</v>
      </c>
      <c r="D331" t="str">
        <f>IF(TRIM(Raw_Data!D331)="Bangalore","Bengaluru",IF(TRIM(Raw_Data!D331)="Mysore","Mysuru",IF(TRIM(Raw_Data!D331)="Cochin","Kochi",PROPER(TRIM(Raw_Data!D331)))))</f>
        <v>Pune</v>
      </c>
      <c r="E331" t="str">
        <f>PROPER(TRIM(Raw_Data!E331))</f>
        <v>Retail Store</v>
      </c>
      <c r="F331" t="str">
        <f>PROPER(TRIM(Raw_Data!F331))</f>
        <v>Consumer</v>
      </c>
      <c r="G331" t="str">
        <f>PROPER(TRIM(Raw_Data!G331))</f>
        <v>Monitor</v>
      </c>
      <c r="H331" t="str">
        <f>PROPER(TRIM(Raw_Data!H331))</f>
        <v>Monitor 32</v>
      </c>
      <c r="I331">
        <f>IFERROR(MAX(0,VALUE(Raw_Data!I331)),0)</f>
        <v>6</v>
      </c>
      <c r="J331" s="13">
        <f>IFERROR(VALUE(Raw_Data!J331),0)</f>
        <v>21953</v>
      </c>
      <c r="K331" s="14">
        <f>IFERROR(VALUE(Raw_Data!K331),0)</f>
        <v>0.02</v>
      </c>
      <c r="L331" t="str">
        <f>PROPER(TRIM(Raw_Data!L331))</f>
        <v>Delivered</v>
      </c>
      <c r="M331" s="13">
        <f t="shared" si="40"/>
        <v>131718</v>
      </c>
      <c r="N331" s="13">
        <f t="shared" si="41"/>
        <v>2634.36</v>
      </c>
      <c r="O331" s="13">
        <f t="shared" si="42"/>
        <v>129083.64</v>
      </c>
      <c r="P331" s="13">
        <f t="shared" si="43"/>
        <v>92202.6</v>
      </c>
      <c r="Q331" s="13">
        <f t="shared" si="44"/>
        <v>36881.04</v>
      </c>
      <c r="R331" s="10">
        <f t="shared" si="45"/>
        <v>0.285714285714286</v>
      </c>
      <c r="S331" t="str">
        <f t="shared" si="46"/>
        <v>Jul-2026</v>
      </c>
      <c r="T331" t="str">
        <f t="shared" si="47"/>
        <v>OK</v>
      </c>
    </row>
    <row r="332" spans="1:20">
      <c r="A332" t="str">
        <f>TRIM(Raw_Data!A332)</f>
        <v>ORD-10331</v>
      </c>
      <c r="B332" s="12">
        <f>IFERROR(IF(ISNUMBER(Raw_Data!B332),Raw_Data!B332,DATEVALUE(Raw_Data!B332)),"")</f>
        <v>46235</v>
      </c>
      <c r="C332" t="str">
        <f>PROPER(TRIM(Raw_Data!C332))</f>
        <v>Asha</v>
      </c>
      <c r="D332" t="str">
        <f>IF(TRIM(Raw_Data!D332)="Bangalore","Bengaluru",IF(TRIM(Raw_Data!D332)="Mysore","Mysuru",IF(TRIM(Raw_Data!D332)="Cochin","Kochi",PROPER(TRIM(Raw_Data!D332)))))</f>
        <v>Mumbai</v>
      </c>
      <c r="E332" t="str">
        <f>PROPER(TRIM(Raw_Data!E332))</f>
        <v>Retail Store</v>
      </c>
      <c r="F332" t="str">
        <f>PROPER(TRIM(Raw_Data!F332))</f>
        <v>Enterprise</v>
      </c>
      <c r="G332" t="str">
        <f>PROPER(TRIM(Raw_Data!G332))</f>
        <v>Monitor</v>
      </c>
      <c r="H332" t="str">
        <f>PROPER(TRIM(Raw_Data!H332))</f>
        <v>Monitor 27</v>
      </c>
      <c r="I332">
        <f>IFERROR(MAX(0,VALUE(Raw_Data!I332)),0)</f>
        <v>4</v>
      </c>
      <c r="J332" s="13">
        <f>IFERROR(VALUE(Raw_Data!J332),0)</f>
        <v>10927</v>
      </c>
      <c r="K332" s="14">
        <f>IFERROR(VALUE(Raw_Data!K332),0)</f>
        <v>0.15</v>
      </c>
      <c r="L332" t="str">
        <f>PROPER(TRIM(Raw_Data!L332))</f>
        <v>Delivered</v>
      </c>
      <c r="M332" s="13">
        <f t="shared" si="40"/>
        <v>43708</v>
      </c>
      <c r="N332" s="13">
        <f t="shared" si="41"/>
        <v>6556.2</v>
      </c>
      <c r="O332" s="13">
        <f t="shared" si="42"/>
        <v>37151.8</v>
      </c>
      <c r="P332" s="13">
        <f t="shared" si="43"/>
        <v>30595.6</v>
      </c>
      <c r="Q332" s="13">
        <f t="shared" si="44"/>
        <v>6556.2</v>
      </c>
      <c r="R332" s="10">
        <f t="shared" si="45"/>
        <v>0.176470588235294</v>
      </c>
      <c r="S332" t="str">
        <f t="shared" si="46"/>
        <v>Aug-2026</v>
      </c>
      <c r="T332" t="str">
        <f t="shared" si="47"/>
        <v>OK</v>
      </c>
    </row>
    <row r="333" spans="1:20">
      <c r="A333" t="str">
        <f>TRIM(Raw_Data!A333)</f>
        <v>ORD-10332</v>
      </c>
      <c r="B333" s="12" t="str">
        <f>IFERROR(IF(ISNUMBER(Raw_Data!B333),Raw_Data!B333,DATEVALUE(Raw_Data!B333)),"")</f>
        <v/>
      </c>
      <c r="C333" t="str">
        <f>PROPER(TRIM(Raw_Data!C333))</f>
        <v>Priya</v>
      </c>
      <c r="D333" t="str">
        <f>IF(TRIM(Raw_Data!D333)="Bangalore","Bengaluru",IF(TRIM(Raw_Data!D333)="Mysore","Mysuru",IF(TRIM(Raw_Data!D333)="Cochin","Kochi",PROPER(TRIM(Raw_Data!D333)))))</f>
        <v>Pune</v>
      </c>
      <c r="E333" t="str">
        <f>PROPER(TRIM(Raw_Data!E333))</f>
        <v>Retail Store</v>
      </c>
      <c r="F333" t="str">
        <f>PROPER(TRIM(Raw_Data!F333))</f>
        <v>Smb</v>
      </c>
      <c r="G333" t="str">
        <f>PROPER(TRIM(Raw_Data!G333))</f>
        <v>Keyboard</v>
      </c>
      <c r="H333" t="str">
        <f>PROPER(TRIM(Raw_Data!H333))</f>
        <v>Keyboard Mechanical</v>
      </c>
      <c r="I333">
        <f>IFERROR(MAX(0,VALUE(Raw_Data!I333)),0)</f>
        <v>1</v>
      </c>
      <c r="J333" s="13">
        <f>IFERROR(VALUE(Raw_Data!J333),0)</f>
        <v>1997</v>
      </c>
      <c r="K333" s="14">
        <f>IFERROR(VALUE(Raw_Data!K333),0)</f>
        <v>0.15</v>
      </c>
      <c r="L333" t="str">
        <f>PROPER(TRIM(Raw_Data!L333))</f>
        <v>Delivered</v>
      </c>
      <c r="M333" s="13">
        <f t="shared" si="40"/>
        <v>1997</v>
      </c>
      <c r="N333" s="13">
        <f t="shared" si="41"/>
        <v>299.55</v>
      </c>
      <c r="O333" s="13">
        <f t="shared" si="42"/>
        <v>1697.45</v>
      </c>
      <c r="P333" s="13">
        <f t="shared" si="43"/>
        <v>1158.26</v>
      </c>
      <c r="Q333" s="13">
        <f t="shared" si="44"/>
        <v>539.19</v>
      </c>
      <c r="R333" s="10">
        <f t="shared" si="45"/>
        <v>0.317647058823529</v>
      </c>
      <c r="S333" t="str">
        <f t="shared" si="46"/>
        <v/>
      </c>
      <c r="T333" t="str">
        <f t="shared" si="47"/>
        <v>CHECK</v>
      </c>
    </row>
    <row r="334" spans="1:20">
      <c r="A334" t="str">
        <f>TRIM(Raw_Data!A334)</f>
        <v>ORD-10333</v>
      </c>
      <c r="B334" s="12">
        <f>IFERROR(IF(ISNUMBER(Raw_Data!B334),Raw_Data!B334,DATEVALUE(Raw_Data!B334)),"")</f>
        <v>46132</v>
      </c>
      <c r="C334" t="str">
        <f>PROPER(TRIM(Raw_Data!C334))</f>
        <v>Kiran</v>
      </c>
      <c r="D334" t="str">
        <f>IF(TRIM(Raw_Data!D334)="Bangalore","Bengaluru",IF(TRIM(Raw_Data!D334)="Mysore","Mysuru",IF(TRIM(Raw_Data!D334)="Cochin","Kochi",PROPER(TRIM(Raw_Data!D334)))))</f>
        <v>Chennai</v>
      </c>
      <c r="E334" t="str">
        <f>PROPER(TRIM(Raw_Data!E334))</f>
        <v>Retail Store</v>
      </c>
      <c r="F334" t="str">
        <f>PROPER(TRIM(Raw_Data!F334))</f>
        <v>Consumer</v>
      </c>
      <c r="G334" t="str">
        <f>PROPER(TRIM(Raw_Data!G334))</f>
        <v>Monitor</v>
      </c>
      <c r="H334" t="str">
        <f>PROPER(TRIM(Raw_Data!H334))</f>
        <v>Monitor 24</v>
      </c>
      <c r="I334">
        <f>IFERROR(MAX(0,VALUE(Raw_Data!I334)),0)</f>
        <v>6</v>
      </c>
      <c r="J334" s="13">
        <f>IFERROR(VALUE(Raw_Data!J334),0)</f>
        <v>24527</v>
      </c>
      <c r="K334" s="14">
        <f>IFERROR(VALUE(Raw_Data!K334),0)</f>
        <v>0.1</v>
      </c>
      <c r="L334" t="str">
        <f>PROPER(TRIM(Raw_Data!L334))</f>
        <v>Pending</v>
      </c>
      <c r="M334" s="13">
        <f t="shared" si="40"/>
        <v>147162</v>
      </c>
      <c r="N334" s="13">
        <f t="shared" si="41"/>
        <v>14716.2</v>
      </c>
      <c r="O334" s="13">
        <f t="shared" si="42"/>
        <v>132445.8</v>
      </c>
      <c r="P334" s="13">
        <f t="shared" si="43"/>
        <v>103013.4</v>
      </c>
      <c r="Q334" s="13">
        <f t="shared" si="44"/>
        <v>29432.4</v>
      </c>
      <c r="R334" s="10">
        <f t="shared" si="45"/>
        <v>0.222222222222222</v>
      </c>
      <c r="S334" t="str">
        <f t="shared" si="46"/>
        <v>Apr-2026</v>
      </c>
      <c r="T334" t="str">
        <f t="shared" si="47"/>
        <v>OK</v>
      </c>
    </row>
    <row r="335" spans="1:20">
      <c r="A335" t="str">
        <f>TRIM(Raw_Data!A335)</f>
        <v>ORD-10334</v>
      </c>
      <c r="B335" s="12">
        <f>IFERROR(IF(ISNUMBER(Raw_Data!B335),Raw_Data!B335,DATEVALUE(Raw_Data!B335)),"")</f>
        <v>46189</v>
      </c>
      <c r="C335" t="str">
        <f>PROPER(TRIM(Raw_Data!C335))</f>
        <v>Meghana</v>
      </c>
      <c r="D335" t="str">
        <f>IF(TRIM(Raw_Data!D335)="Bangalore","Bengaluru",IF(TRIM(Raw_Data!D335)="Mysore","Mysuru",IF(TRIM(Raw_Data!D335)="Cochin","Kochi",PROPER(TRIM(Raw_Data!D335)))))</f>
        <v>Mysuru</v>
      </c>
      <c r="E335" t="str">
        <f>PROPER(TRIM(Raw_Data!E335))</f>
        <v>Corporate</v>
      </c>
      <c r="F335" t="str">
        <f>PROPER(TRIM(Raw_Data!F335))</f>
        <v>Consumer</v>
      </c>
      <c r="G335" t="str">
        <f>PROPER(TRIM(Raw_Data!G335))</f>
        <v>Mouse</v>
      </c>
      <c r="H335" t="str">
        <f>PROPER(TRIM(Raw_Data!H335))</f>
        <v>Mouse Ergonomic</v>
      </c>
      <c r="I335">
        <f>IFERROR(MAX(0,VALUE(Raw_Data!I335)),0)</f>
        <v>2</v>
      </c>
      <c r="J335" s="13">
        <f>IFERROR(VALUE(Raw_Data!J335),0)</f>
        <v>1177</v>
      </c>
      <c r="K335" s="14">
        <f>IFERROR(VALUE(Raw_Data!K335),0)</f>
        <v>0.08</v>
      </c>
      <c r="L335" t="str">
        <f>PROPER(TRIM(Raw_Data!L335))</f>
        <v>Returned</v>
      </c>
      <c r="M335" s="13">
        <f t="shared" si="40"/>
        <v>2354</v>
      </c>
      <c r="N335" s="13">
        <f t="shared" si="41"/>
        <v>188.32</v>
      </c>
      <c r="O335" s="13">
        <f t="shared" si="42"/>
        <v>2165.68</v>
      </c>
      <c r="P335" s="13">
        <f t="shared" si="43"/>
        <v>1294.7</v>
      </c>
      <c r="Q335" s="13">
        <f t="shared" si="44"/>
        <v>870.98</v>
      </c>
      <c r="R335" s="10">
        <f t="shared" si="45"/>
        <v>0.402173913043478</v>
      </c>
      <c r="S335" t="str">
        <f t="shared" si="46"/>
        <v>Jun-2026</v>
      </c>
      <c r="T335" t="str">
        <f t="shared" si="47"/>
        <v>OK</v>
      </c>
    </row>
    <row r="336" spans="1:20">
      <c r="A336" t="str">
        <f>TRIM(Raw_Data!A336)</f>
        <v>ORD-10335</v>
      </c>
      <c r="B336" s="12">
        <f>IFERROR(IF(ISNUMBER(Raw_Data!B336),Raw_Data!B336,DATEVALUE(Raw_Data!B336)),"")</f>
        <v>46243</v>
      </c>
      <c r="C336" t="str">
        <f>PROPER(TRIM(Raw_Data!C336))</f>
        <v>Priya</v>
      </c>
      <c r="D336" t="str">
        <f>IF(TRIM(Raw_Data!D336)="Bangalore","Bengaluru",IF(TRIM(Raw_Data!D336)="Mysore","Mysuru",IF(TRIM(Raw_Data!D336)="Cochin","Kochi",PROPER(TRIM(Raw_Data!D336)))))</f>
        <v>Kochi</v>
      </c>
      <c r="E336" t="str">
        <f>PROPER(TRIM(Raw_Data!E336))</f>
        <v>Online</v>
      </c>
      <c r="F336" t="str">
        <f>PROPER(TRIM(Raw_Data!F336))</f>
        <v>Enterprise</v>
      </c>
      <c r="G336" t="str">
        <f>PROPER(TRIM(Raw_Data!G336))</f>
        <v>Headset</v>
      </c>
      <c r="H336" t="str">
        <f>PROPER(TRIM(Raw_Data!H336))</f>
        <v>Headset Pro</v>
      </c>
      <c r="I336">
        <f>IFERROR(MAX(0,VALUE(Raw_Data!I336)),0)</f>
        <v>2</v>
      </c>
      <c r="J336" s="13">
        <f>IFERROR(VALUE(Raw_Data!J336),0)</f>
        <v>5750</v>
      </c>
      <c r="K336" s="14">
        <f>IFERROR(VALUE(Raw_Data!K336),0)</f>
        <v>0.02</v>
      </c>
      <c r="L336" t="str">
        <f>PROPER(TRIM(Raw_Data!L336))</f>
        <v>Returned</v>
      </c>
      <c r="M336" s="13">
        <f t="shared" si="40"/>
        <v>11500</v>
      </c>
      <c r="N336" s="13">
        <f t="shared" si="41"/>
        <v>230</v>
      </c>
      <c r="O336" s="13">
        <f t="shared" si="42"/>
        <v>11270</v>
      </c>
      <c r="P336" s="13">
        <f t="shared" si="43"/>
        <v>6900</v>
      </c>
      <c r="Q336" s="13">
        <f t="shared" si="44"/>
        <v>4370</v>
      </c>
      <c r="R336" s="10">
        <f t="shared" si="45"/>
        <v>0.387755102040816</v>
      </c>
      <c r="S336" t="str">
        <f t="shared" si="46"/>
        <v>Aug-2026</v>
      </c>
      <c r="T336" t="str">
        <f t="shared" si="47"/>
        <v>OK</v>
      </c>
    </row>
    <row r="337" spans="1:20">
      <c r="A337" t="str">
        <f>TRIM(Raw_Data!A337)</f>
        <v>ORD-10336</v>
      </c>
      <c r="B337" s="12">
        <f>IFERROR(IF(ISNUMBER(Raw_Data!B337),Raw_Data!B337,DATEVALUE(Raw_Data!B337)),"")</f>
        <v>46099</v>
      </c>
      <c r="C337" t="str">
        <f>PROPER(TRIM(Raw_Data!C337))</f>
        <v>Neha</v>
      </c>
      <c r="D337" t="str">
        <f>IF(TRIM(Raw_Data!D337)="Bangalore","Bengaluru",IF(TRIM(Raw_Data!D337)="Mysore","Mysuru",IF(TRIM(Raw_Data!D337)="Cochin","Kochi",PROPER(TRIM(Raw_Data!D337)))))</f>
        <v>Hyderabad</v>
      </c>
      <c r="E337" t="str">
        <f>PROPER(TRIM(Raw_Data!E337))</f>
        <v>Retail Store</v>
      </c>
      <c r="F337" t="str">
        <f>PROPER(TRIM(Raw_Data!F337))</f>
        <v>Consumer</v>
      </c>
      <c r="G337" t="str">
        <f>PROPER(TRIM(Raw_Data!G337))</f>
        <v>Keyboard</v>
      </c>
      <c r="H337" t="str">
        <f>PROPER(TRIM(Raw_Data!H337))</f>
        <v>Keyboard Office</v>
      </c>
      <c r="I337">
        <f>IFERROR(MAX(0,VALUE(Raw_Data!I337)),0)</f>
        <v>5</v>
      </c>
      <c r="J337" s="13">
        <f>IFERROR(VALUE(Raw_Data!J337),0)</f>
        <v>3234</v>
      </c>
      <c r="K337" s="14">
        <f>IFERROR(VALUE(Raw_Data!K337),0)</f>
        <v>0.15</v>
      </c>
      <c r="L337" t="str">
        <f>PROPER(TRIM(Raw_Data!L337))</f>
        <v>Cancelled</v>
      </c>
      <c r="M337" s="13">
        <f t="shared" si="40"/>
        <v>16170</v>
      </c>
      <c r="N337" s="13">
        <f t="shared" si="41"/>
        <v>2425.5</v>
      </c>
      <c r="O337" s="13">
        <f t="shared" si="42"/>
        <v>13744.5</v>
      </c>
      <c r="P337" s="13">
        <f t="shared" si="43"/>
        <v>9378.6</v>
      </c>
      <c r="Q337" s="13">
        <f t="shared" si="44"/>
        <v>4365.9</v>
      </c>
      <c r="R337" s="10">
        <f t="shared" si="45"/>
        <v>0.31764705882353</v>
      </c>
      <c r="S337" t="str">
        <f t="shared" si="46"/>
        <v>Mar-2026</v>
      </c>
      <c r="T337" t="str">
        <f t="shared" si="47"/>
        <v>OK</v>
      </c>
    </row>
    <row r="338" spans="1:20">
      <c r="A338" t="str">
        <f>TRIM(Raw_Data!A338)</f>
        <v>ORD-10337</v>
      </c>
      <c r="B338" s="12">
        <f>IFERROR(IF(ISNUMBER(Raw_Data!B338),Raw_Data!B338,DATEVALUE(Raw_Data!B338)),"")</f>
        <v>46164</v>
      </c>
      <c r="C338" t="str">
        <f>PROPER(TRIM(Raw_Data!C338))</f>
        <v>Priya</v>
      </c>
      <c r="D338" t="str">
        <f>IF(TRIM(Raw_Data!D338)="Bangalore","Bengaluru",IF(TRIM(Raw_Data!D338)="Mysore","Mysuru",IF(TRIM(Raw_Data!D338)="Cochin","Kochi",PROPER(TRIM(Raw_Data!D338)))))</f>
        <v>Delhi</v>
      </c>
      <c r="E338" t="str">
        <f>PROPER(TRIM(Raw_Data!E338))</f>
        <v>Retail Store</v>
      </c>
      <c r="F338" t="str">
        <f>PROPER(TRIM(Raw_Data!F338))</f>
        <v>Consumer</v>
      </c>
      <c r="G338" t="str">
        <f>PROPER(TRIM(Raw_Data!G338))</f>
        <v>Monitor</v>
      </c>
      <c r="H338" t="str">
        <f>PROPER(TRIM(Raw_Data!H338))</f>
        <v>Monitor 32</v>
      </c>
      <c r="I338">
        <f>IFERROR(MAX(0,VALUE(Raw_Data!I338)),0)</f>
        <v>5</v>
      </c>
      <c r="J338" s="13">
        <f>IFERROR(VALUE(Raw_Data!J338),0)</f>
        <v>13210</v>
      </c>
      <c r="K338" s="14">
        <f>IFERROR(VALUE(Raw_Data!K338),0)</f>
        <v>0.05</v>
      </c>
      <c r="L338" t="str">
        <f>PROPER(TRIM(Raw_Data!L338))</f>
        <v>Pending</v>
      </c>
      <c r="M338" s="13">
        <f t="shared" si="40"/>
        <v>66050</v>
      </c>
      <c r="N338" s="13">
        <f t="shared" si="41"/>
        <v>3302.5</v>
      </c>
      <c r="O338" s="13">
        <f t="shared" si="42"/>
        <v>62747.5</v>
      </c>
      <c r="P338" s="13">
        <f t="shared" si="43"/>
        <v>46235</v>
      </c>
      <c r="Q338" s="13">
        <f t="shared" si="44"/>
        <v>16512.5</v>
      </c>
      <c r="R338" s="10">
        <f t="shared" si="45"/>
        <v>0.263157894736842</v>
      </c>
      <c r="S338" t="str">
        <f t="shared" si="46"/>
        <v>May-2026</v>
      </c>
      <c r="T338" t="str">
        <f t="shared" si="47"/>
        <v>OK</v>
      </c>
    </row>
    <row r="339" spans="1:20">
      <c r="A339" t="str">
        <f>TRIM(Raw_Data!A339)</f>
        <v>ORD-10338</v>
      </c>
      <c r="B339" s="12">
        <f>IFERROR(IF(ISNUMBER(Raw_Data!B339),Raw_Data!B339,DATEVALUE(Raw_Data!B339)),"")</f>
        <v>46233</v>
      </c>
      <c r="C339" t="str">
        <f>PROPER(TRIM(Raw_Data!C339))</f>
        <v>Ravi</v>
      </c>
      <c r="D339" t="str">
        <f>IF(TRIM(Raw_Data!D339)="Bangalore","Bengaluru",IF(TRIM(Raw_Data!D339)="Mysore","Mysuru",IF(TRIM(Raw_Data!D339)="Cochin","Kochi",PROPER(TRIM(Raw_Data!D339)))))</f>
        <v>Hyderabad</v>
      </c>
      <c r="E339" t="str">
        <f>PROPER(TRIM(Raw_Data!E339))</f>
        <v>Retail Store</v>
      </c>
      <c r="F339" t="str">
        <f>PROPER(TRIM(Raw_Data!F339))</f>
        <v>Consumer</v>
      </c>
      <c r="G339" t="str">
        <f>PROPER(TRIM(Raw_Data!G339))</f>
        <v>Headset</v>
      </c>
      <c r="H339" t="str">
        <f>PROPER(TRIM(Raw_Data!H339))</f>
        <v>Headset Office</v>
      </c>
      <c r="I339">
        <f>IFERROR(MAX(0,VALUE(Raw_Data!I339)),0)</f>
        <v>1</v>
      </c>
      <c r="J339" s="13">
        <f>IFERROR(VALUE(Raw_Data!J339),0)</f>
        <v>4604</v>
      </c>
      <c r="K339" s="14">
        <f>IFERROR(VALUE(Raw_Data!K339),0)</f>
        <v>0.1</v>
      </c>
      <c r="L339" t="str">
        <f>PROPER(TRIM(Raw_Data!L339))</f>
        <v>Delivered</v>
      </c>
      <c r="M339" s="13">
        <f t="shared" si="40"/>
        <v>4604</v>
      </c>
      <c r="N339" s="13">
        <f t="shared" si="41"/>
        <v>460.4</v>
      </c>
      <c r="O339" s="13">
        <f t="shared" si="42"/>
        <v>4143.6</v>
      </c>
      <c r="P339" s="13">
        <f t="shared" si="43"/>
        <v>2762.4</v>
      </c>
      <c r="Q339" s="13">
        <f t="shared" si="44"/>
        <v>1381.2</v>
      </c>
      <c r="R339" s="10">
        <f t="shared" si="45"/>
        <v>0.333333333333333</v>
      </c>
      <c r="S339" t="str">
        <f t="shared" si="46"/>
        <v>Jul-2026</v>
      </c>
      <c r="T339" t="str">
        <f t="shared" si="47"/>
        <v>OK</v>
      </c>
    </row>
    <row r="340" spans="1:20">
      <c r="A340" t="str">
        <f>TRIM(Raw_Data!A340)</f>
        <v>ORD-10339</v>
      </c>
      <c r="B340" s="12">
        <f>IFERROR(IF(ISNUMBER(Raw_Data!B340),Raw_Data!B340,DATEVALUE(Raw_Data!B340)),"")</f>
        <v>46049</v>
      </c>
      <c r="C340" t="str">
        <f>PROPER(TRIM(Raw_Data!C340))</f>
        <v>Asha</v>
      </c>
      <c r="D340" t="str">
        <f>IF(TRIM(Raw_Data!D340)="Bangalore","Bengaluru",IF(TRIM(Raw_Data!D340)="Mysore","Mysuru",IF(TRIM(Raw_Data!D340)="Cochin","Kochi",PROPER(TRIM(Raw_Data!D340)))))</f>
        <v>Mumbai</v>
      </c>
      <c r="E340" t="str">
        <f>PROPER(TRIM(Raw_Data!E340))</f>
        <v>Retail Store</v>
      </c>
      <c r="F340" t="str">
        <f>PROPER(TRIM(Raw_Data!F340))</f>
        <v>Consumer</v>
      </c>
      <c r="G340" t="str">
        <f>PROPER(TRIM(Raw_Data!G340))</f>
        <v>Laptop</v>
      </c>
      <c r="H340" t="str">
        <f>PROPER(TRIM(Raw_Data!H340))</f>
        <v>Laptop Pro 14</v>
      </c>
      <c r="I340">
        <f>IFERROR(MAX(0,VALUE(Raw_Data!I340)),0)</f>
        <v>0</v>
      </c>
      <c r="J340" s="13">
        <f>IFERROR(VALUE(Raw_Data!J340),0)</f>
        <v>83589</v>
      </c>
      <c r="K340" s="14">
        <f>IFERROR(VALUE(Raw_Data!K340),0)</f>
        <v>0.1</v>
      </c>
      <c r="L340" t="str">
        <f>PROPER(TRIM(Raw_Data!L340))</f>
        <v>Delivered</v>
      </c>
      <c r="M340" s="13">
        <f t="shared" si="40"/>
        <v>0</v>
      </c>
      <c r="N340" s="13">
        <f t="shared" si="41"/>
        <v>0</v>
      </c>
      <c r="O340" s="13">
        <f t="shared" si="42"/>
        <v>0</v>
      </c>
      <c r="P340" s="13">
        <f t="shared" si="43"/>
        <v>0</v>
      </c>
      <c r="Q340" s="13">
        <f t="shared" si="44"/>
        <v>0</v>
      </c>
      <c r="R340" s="10">
        <f t="shared" si="45"/>
        <v>0</v>
      </c>
      <c r="S340" t="str">
        <f t="shared" si="46"/>
        <v>Jan-2026</v>
      </c>
      <c r="T340" t="str">
        <f t="shared" si="47"/>
        <v>CHECK</v>
      </c>
    </row>
    <row r="341" spans="1:20">
      <c r="A341" t="str">
        <f>TRIM(Raw_Data!A341)</f>
        <v>ORD-10340</v>
      </c>
      <c r="B341" s="12">
        <f>IFERROR(IF(ISNUMBER(Raw_Data!B341),Raw_Data!B341,DATEVALUE(Raw_Data!B341)),"")</f>
        <v>46119</v>
      </c>
      <c r="C341" t="str">
        <f>PROPER(TRIM(Raw_Data!C341))</f>
        <v>Arjun</v>
      </c>
      <c r="D341" t="str">
        <f>IF(TRIM(Raw_Data!D341)="Bangalore","Bengaluru",IF(TRIM(Raw_Data!D341)="Mysore","Mysuru",IF(TRIM(Raw_Data!D341)="Cochin","Kochi",PROPER(TRIM(Raw_Data!D341)))))</f>
        <v>Mumbai</v>
      </c>
      <c r="E341" t="str">
        <f>PROPER(TRIM(Raw_Data!E341))</f>
        <v>Retail Store</v>
      </c>
      <c r="F341" t="str">
        <f>PROPER(TRIM(Raw_Data!F341))</f>
        <v>Consumer</v>
      </c>
      <c r="G341" t="str">
        <f>PROPER(TRIM(Raw_Data!G341))</f>
        <v>Headset</v>
      </c>
      <c r="H341" t="str">
        <f>PROPER(TRIM(Raw_Data!H341))</f>
        <v>Headset Office</v>
      </c>
      <c r="I341">
        <f>IFERROR(MAX(0,VALUE(Raw_Data!I341)),0)</f>
        <v>7</v>
      </c>
      <c r="J341" s="13">
        <f>IFERROR(VALUE(Raw_Data!J341),0)</f>
        <v>6486</v>
      </c>
      <c r="K341" s="14">
        <f>IFERROR(VALUE(Raw_Data!K341),0)</f>
        <v>0.15</v>
      </c>
      <c r="L341" t="str">
        <f>PROPER(TRIM(Raw_Data!L341))</f>
        <v>Pending</v>
      </c>
      <c r="M341" s="13">
        <f t="shared" si="40"/>
        <v>45402</v>
      </c>
      <c r="N341" s="13">
        <f t="shared" si="41"/>
        <v>6810.3</v>
      </c>
      <c r="O341" s="13">
        <f t="shared" si="42"/>
        <v>38591.7</v>
      </c>
      <c r="P341" s="13">
        <f t="shared" si="43"/>
        <v>27241.2</v>
      </c>
      <c r="Q341" s="13">
        <f t="shared" si="44"/>
        <v>11350.5</v>
      </c>
      <c r="R341" s="10">
        <f t="shared" si="45"/>
        <v>0.294117647058823</v>
      </c>
      <c r="S341" t="str">
        <f t="shared" si="46"/>
        <v>Apr-2026</v>
      </c>
      <c r="T341" t="str">
        <f t="shared" si="47"/>
        <v>OK</v>
      </c>
    </row>
    <row r="342" spans="1:20">
      <c r="A342" t="str">
        <f>TRIM(Raw_Data!A342)</f>
        <v>ORD-10341</v>
      </c>
      <c r="B342" s="12">
        <f>IFERROR(IF(ISNUMBER(Raw_Data!B342),Raw_Data!B342,DATEVALUE(Raw_Data!B342)),"")</f>
        <v>46209</v>
      </c>
      <c r="C342" t="str">
        <f>PROPER(TRIM(Raw_Data!C342))</f>
        <v>Priya</v>
      </c>
      <c r="D342" t="str">
        <f>IF(TRIM(Raw_Data!D342)="Bangalore","Bengaluru",IF(TRIM(Raw_Data!D342)="Mysore","Mysuru",IF(TRIM(Raw_Data!D342)="Cochin","Kochi",PROPER(TRIM(Raw_Data!D342)))))</f>
        <v>Hyderabad</v>
      </c>
      <c r="E342" t="str">
        <f>PROPER(TRIM(Raw_Data!E342))</f>
        <v>Corporate</v>
      </c>
      <c r="F342" t="str">
        <f>PROPER(TRIM(Raw_Data!F342))</f>
        <v>Consumer</v>
      </c>
      <c r="G342" t="str">
        <f>PROPER(TRIM(Raw_Data!G342))</f>
        <v>Monitor</v>
      </c>
      <c r="H342" t="str">
        <f>PROPER(TRIM(Raw_Data!H342))</f>
        <v>Monitor 24</v>
      </c>
      <c r="I342">
        <f>IFERROR(MAX(0,VALUE(Raw_Data!I342)),0)</f>
        <v>8</v>
      </c>
      <c r="J342" s="13">
        <f>IFERROR(VALUE(Raw_Data!J342),0)</f>
        <v>10881</v>
      </c>
      <c r="K342" s="14">
        <f>IFERROR(VALUE(Raw_Data!K342),0)</f>
        <v>0</v>
      </c>
      <c r="L342" t="str">
        <f>PROPER(TRIM(Raw_Data!L342))</f>
        <v>Pending</v>
      </c>
      <c r="M342" s="13">
        <f t="shared" si="40"/>
        <v>87048</v>
      </c>
      <c r="N342" s="13">
        <f t="shared" si="41"/>
        <v>0</v>
      </c>
      <c r="O342" s="13">
        <f t="shared" si="42"/>
        <v>87048</v>
      </c>
      <c r="P342" s="13">
        <f t="shared" si="43"/>
        <v>60933.6</v>
      </c>
      <c r="Q342" s="13">
        <f t="shared" si="44"/>
        <v>26114.4</v>
      </c>
      <c r="R342" s="10">
        <f t="shared" si="45"/>
        <v>0.3</v>
      </c>
      <c r="S342" t="str">
        <f t="shared" si="46"/>
        <v>Jul-2026</v>
      </c>
      <c r="T342" t="str">
        <f t="shared" si="47"/>
        <v>OK</v>
      </c>
    </row>
    <row r="343" spans="1:20">
      <c r="A343" t="str">
        <f>TRIM(Raw_Data!A343)</f>
        <v>ORD-10342</v>
      </c>
      <c r="B343" s="12">
        <f>IFERROR(IF(ISNUMBER(Raw_Data!B343),Raw_Data!B343,DATEVALUE(Raw_Data!B343)),"")</f>
        <v>46212</v>
      </c>
      <c r="C343" t="str">
        <f>PROPER(TRIM(Raw_Data!C343))</f>
        <v>Priya</v>
      </c>
      <c r="D343" t="str">
        <f>IF(TRIM(Raw_Data!D343)="Bangalore","Bengaluru",IF(TRIM(Raw_Data!D343)="Mysore","Mysuru",IF(TRIM(Raw_Data!D343)="Cochin","Kochi",PROPER(TRIM(Raw_Data!D343)))))</f>
        <v>Bengaluru</v>
      </c>
      <c r="E343" t="str">
        <f>PROPER(TRIM(Raw_Data!E343))</f>
        <v>Retail Store</v>
      </c>
      <c r="F343" t="str">
        <f>PROPER(TRIM(Raw_Data!F343))</f>
        <v>Smb</v>
      </c>
      <c r="G343" t="str">
        <f>PROPER(TRIM(Raw_Data!G343))</f>
        <v>Headset</v>
      </c>
      <c r="H343" t="str">
        <f>PROPER(TRIM(Raw_Data!H343))</f>
        <v>Headset Office</v>
      </c>
      <c r="I343">
        <f>IFERROR(MAX(0,VALUE(Raw_Data!I343)),0)</f>
        <v>4</v>
      </c>
      <c r="J343" s="13">
        <f>IFERROR(VALUE(Raw_Data!J343),0)</f>
        <v>5788</v>
      </c>
      <c r="K343" s="14">
        <f>IFERROR(VALUE(Raw_Data!K343),0)</f>
        <v>0.02</v>
      </c>
      <c r="L343" t="str">
        <f>PROPER(TRIM(Raw_Data!L343))</f>
        <v>Delivered</v>
      </c>
      <c r="M343" s="13">
        <f t="shared" si="40"/>
        <v>23152</v>
      </c>
      <c r="N343" s="13">
        <f t="shared" si="41"/>
        <v>463.04</v>
      </c>
      <c r="O343" s="13">
        <f t="shared" si="42"/>
        <v>22688.96</v>
      </c>
      <c r="P343" s="13">
        <f t="shared" si="43"/>
        <v>13891.2</v>
      </c>
      <c r="Q343" s="13">
        <f t="shared" si="44"/>
        <v>8797.76</v>
      </c>
      <c r="R343" s="10">
        <f t="shared" si="45"/>
        <v>0.387755102040816</v>
      </c>
      <c r="S343" t="str">
        <f t="shared" si="46"/>
        <v>Jul-2026</v>
      </c>
      <c r="T343" t="str">
        <f t="shared" si="47"/>
        <v>OK</v>
      </c>
    </row>
    <row r="344" spans="1:20">
      <c r="A344" t="str">
        <f>TRIM(Raw_Data!A344)</f>
        <v>ORD-10343</v>
      </c>
      <c r="B344" s="12">
        <f>IFERROR(IF(ISNUMBER(Raw_Data!B344),Raw_Data!B344,DATEVALUE(Raw_Data!B344)),"")</f>
        <v>46090</v>
      </c>
      <c r="C344" t="str">
        <f>PROPER(TRIM(Raw_Data!C344))</f>
        <v>Neha</v>
      </c>
      <c r="D344" t="str">
        <f>IF(TRIM(Raw_Data!D344)="Bangalore","Bengaluru",IF(TRIM(Raw_Data!D344)="Mysore","Mysuru",IF(TRIM(Raw_Data!D344)="Cochin","Kochi",PROPER(TRIM(Raw_Data!D344)))))</f>
        <v>Kochi</v>
      </c>
      <c r="E344" t="str">
        <f>PROPER(TRIM(Raw_Data!E344))</f>
        <v>Online</v>
      </c>
      <c r="F344" t="str">
        <f>PROPER(TRIM(Raw_Data!F344))</f>
        <v>Consumer</v>
      </c>
      <c r="G344" t="str">
        <f>PROPER(TRIM(Raw_Data!G344))</f>
        <v>Monitor</v>
      </c>
      <c r="H344" t="str">
        <f>PROPER(TRIM(Raw_Data!H344))</f>
        <v>Monitor 24</v>
      </c>
      <c r="I344">
        <f>IFERROR(MAX(0,VALUE(Raw_Data!I344)),0)</f>
        <v>8</v>
      </c>
      <c r="J344" s="13">
        <f>IFERROR(VALUE(Raw_Data!J344),0)</f>
        <v>18988</v>
      </c>
      <c r="K344" s="14">
        <f>IFERROR(VALUE(Raw_Data!K344),0)</f>
        <v>0</v>
      </c>
      <c r="L344" t="str">
        <f>PROPER(TRIM(Raw_Data!L344))</f>
        <v>Delivered</v>
      </c>
      <c r="M344" s="13">
        <f t="shared" si="40"/>
        <v>151904</v>
      </c>
      <c r="N344" s="13">
        <f t="shared" si="41"/>
        <v>0</v>
      </c>
      <c r="O344" s="13">
        <f t="shared" si="42"/>
        <v>151904</v>
      </c>
      <c r="P344" s="13">
        <f t="shared" si="43"/>
        <v>106332.8</v>
      </c>
      <c r="Q344" s="13">
        <f t="shared" si="44"/>
        <v>45571.2</v>
      </c>
      <c r="R344" s="10">
        <f t="shared" si="45"/>
        <v>0.3</v>
      </c>
      <c r="S344" t="str">
        <f t="shared" si="46"/>
        <v>Mar-2026</v>
      </c>
      <c r="T344" t="str">
        <f t="shared" si="47"/>
        <v>OK</v>
      </c>
    </row>
    <row r="345" spans="1:20">
      <c r="A345" t="str">
        <f>TRIM(Raw_Data!A345)</f>
        <v>ORD-10344</v>
      </c>
      <c r="B345" s="12">
        <f>IFERROR(IF(ISNUMBER(Raw_Data!B345),Raw_Data!B345,DATEVALUE(Raw_Data!B345)),"")</f>
        <v>46024</v>
      </c>
      <c r="C345" t="str">
        <f>PROPER(TRIM(Raw_Data!C345))</f>
        <v>Bhoomika</v>
      </c>
      <c r="D345" t="str">
        <f>IF(TRIM(Raw_Data!D345)="Bangalore","Bengaluru",IF(TRIM(Raw_Data!D345)="Mysore","Mysuru",IF(TRIM(Raw_Data!D345)="Cochin","Kochi",PROPER(TRIM(Raw_Data!D345)))))</f>
        <v>Mumbai</v>
      </c>
      <c r="E345" t="str">
        <f>PROPER(TRIM(Raw_Data!E345))</f>
        <v>Retail Store</v>
      </c>
      <c r="F345" t="str">
        <f>PROPER(TRIM(Raw_Data!F345))</f>
        <v>Enterprise</v>
      </c>
      <c r="G345" t="str">
        <f>PROPER(TRIM(Raw_Data!G345))</f>
        <v>Monitor</v>
      </c>
      <c r="H345" t="str">
        <f>PROPER(TRIM(Raw_Data!H345))</f>
        <v>Monitor 32</v>
      </c>
      <c r="I345">
        <f>IFERROR(MAX(0,VALUE(Raw_Data!I345)),0)</f>
        <v>6</v>
      </c>
      <c r="J345" s="13">
        <f>IFERROR(VALUE(Raw_Data!J345),0)</f>
        <v>24423</v>
      </c>
      <c r="K345" s="14">
        <f>IFERROR(VALUE(Raw_Data!K345),0)</f>
        <v>0.08</v>
      </c>
      <c r="L345" t="str">
        <f>PROPER(TRIM(Raw_Data!L345))</f>
        <v>Delivered</v>
      </c>
      <c r="M345" s="13">
        <f t="shared" si="40"/>
        <v>146538</v>
      </c>
      <c r="N345" s="13">
        <f t="shared" si="41"/>
        <v>11723.04</v>
      </c>
      <c r="O345" s="13">
        <f t="shared" si="42"/>
        <v>134814.96</v>
      </c>
      <c r="P345" s="13">
        <f t="shared" si="43"/>
        <v>102576.6</v>
      </c>
      <c r="Q345" s="13">
        <f t="shared" si="44"/>
        <v>32238.36</v>
      </c>
      <c r="R345" s="10">
        <f t="shared" si="45"/>
        <v>0.239130434782609</v>
      </c>
      <c r="S345" t="str">
        <f t="shared" si="46"/>
        <v>Jan-2026</v>
      </c>
      <c r="T345" t="str">
        <f t="shared" si="47"/>
        <v>OK</v>
      </c>
    </row>
    <row r="346" spans="1:20">
      <c r="A346" t="str">
        <f>TRIM(Raw_Data!A346)</f>
        <v>ORD-10345</v>
      </c>
      <c r="B346" s="12">
        <f>IFERROR(IF(ISNUMBER(Raw_Data!B346),Raw_Data!B346,DATEVALUE(Raw_Data!B346)),"")</f>
        <v>46253</v>
      </c>
      <c r="C346" t="str">
        <f>PROPER(TRIM(Raw_Data!C346))</f>
        <v>Kiran</v>
      </c>
      <c r="D346" t="str">
        <f>IF(TRIM(Raw_Data!D346)="Bangalore","Bengaluru",IF(TRIM(Raw_Data!D346)="Mysore","Mysuru",IF(TRIM(Raw_Data!D346)="Cochin","Kochi",PROPER(TRIM(Raw_Data!D346)))))</f>
        <v>Pune</v>
      </c>
      <c r="E346" t="str">
        <f>PROPER(TRIM(Raw_Data!E346))</f>
        <v>Retail Store</v>
      </c>
      <c r="F346" t="str">
        <f>PROPER(TRIM(Raw_Data!F346))</f>
        <v>Smb</v>
      </c>
      <c r="G346" t="str">
        <f>PROPER(TRIM(Raw_Data!G346))</f>
        <v>Laptop</v>
      </c>
      <c r="H346" t="str">
        <f>PROPER(TRIM(Raw_Data!H346))</f>
        <v>Laptop Pro 14</v>
      </c>
      <c r="I346">
        <f>IFERROR(MAX(0,VALUE(Raw_Data!I346)),0)</f>
        <v>8</v>
      </c>
      <c r="J346" s="13">
        <f>IFERROR(VALUE(Raw_Data!J346),0)</f>
        <v>76411</v>
      </c>
      <c r="K346" s="14">
        <f>IFERROR(VALUE(Raw_Data!K346),0)</f>
        <v>0.15</v>
      </c>
      <c r="L346" t="str">
        <f>PROPER(TRIM(Raw_Data!L346))</f>
        <v>Returned</v>
      </c>
      <c r="M346" s="13">
        <f t="shared" si="40"/>
        <v>611288</v>
      </c>
      <c r="N346" s="13">
        <f t="shared" si="41"/>
        <v>91693.2</v>
      </c>
      <c r="O346" s="13">
        <f t="shared" si="42"/>
        <v>519594.8</v>
      </c>
      <c r="P346" s="13">
        <f t="shared" si="43"/>
        <v>476804.64</v>
      </c>
      <c r="Q346" s="13">
        <f t="shared" si="44"/>
        <v>42790.16</v>
      </c>
      <c r="R346" s="10">
        <f t="shared" si="45"/>
        <v>0.0823529411764705</v>
      </c>
      <c r="S346" t="str">
        <f t="shared" si="46"/>
        <v>Aug-2026</v>
      </c>
      <c r="T346" t="str">
        <f t="shared" si="47"/>
        <v>OK</v>
      </c>
    </row>
    <row r="347" spans="1:20">
      <c r="A347" t="str">
        <f>TRIM(Raw_Data!A347)</f>
        <v>ORD-10346</v>
      </c>
      <c r="B347" s="12">
        <f>IFERROR(IF(ISNUMBER(Raw_Data!B347),Raw_Data!B347,DATEVALUE(Raw_Data!B347)),"")</f>
        <v>46211</v>
      </c>
      <c r="C347" t="str">
        <f>PROPER(TRIM(Raw_Data!C347))</f>
        <v>Priya</v>
      </c>
      <c r="D347" t="str">
        <f>IF(TRIM(Raw_Data!D347)="Bangalore","Bengaluru",IF(TRIM(Raw_Data!D347)="Mysore","Mysuru",IF(TRIM(Raw_Data!D347)="Cochin","Kochi",PROPER(TRIM(Raw_Data!D347)))))</f>
        <v>Mysuru</v>
      </c>
      <c r="E347" t="str">
        <f>PROPER(TRIM(Raw_Data!E347))</f>
        <v>Retail Store</v>
      </c>
      <c r="F347" t="str">
        <f>PROPER(TRIM(Raw_Data!F347))</f>
        <v>Smb</v>
      </c>
      <c r="G347" t="str">
        <f>PROPER(TRIM(Raw_Data!G347))</f>
        <v>Laptop</v>
      </c>
      <c r="H347" t="str">
        <f>PROPER(TRIM(Raw_Data!H347))</f>
        <v>Laptop Air 13</v>
      </c>
      <c r="I347">
        <f>IFERROR(MAX(0,VALUE(Raw_Data!I347)),0)</f>
        <v>4</v>
      </c>
      <c r="J347" s="13">
        <f>IFERROR(VALUE(Raw_Data!J347),0)</f>
        <v>63970</v>
      </c>
      <c r="K347" s="14">
        <f>IFERROR(VALUE(Raw_Data!K347),0)</f>
        <v>0.1</v>
      </c>
      <c r="L347" t="str">
        <f>PROPER(TRIM(Raw_Data!L347))</f>
        <v>Delivered</v>
      </c>
      <c r="M347" s="13">
        <f t="shared" si="40"/>
        <v>255880</v>
      </c>
      <c r="N347" s="13">
        <f t="shared" si="41"/>
        <v>25588</v>
      </c>
      <c r="O347" s="13">
        <f t="shared" si="42"/>
        <v>230292</v>
      </c>
      <c r="P347" s="13">
        <f t="shared" si="43"/>
        <v>199586.4</v>
      </c>
      <c r="Q347" s="13">
        <f t="shared" si="44"/>
        <v>30705.6</v>
      </c>
      <c r="R347" s="10">
        <f t="shared" si="45"/>
        <v>0.133333333333333</v>
      </c>
      <c r="S347" t="str">
        <f t="shared" si="46"/>
        <v>Jul-2026</v>
      </c>
      <c r="T347" t="str">
        <f t="shared" si="47"/>
        <v>OK</v>
      </c>
    </row>
    <row r="348" spans="1:20">
      <c r="A348" t="str">
        <f>TRIM(Raw_Data!A348)</f>
        <v>ORD-10347</v>
      </c>
      <c r="B348" s="12">
        <f>IFERROR(IF(ISNUMBER(Raw_Data!B348),Raw_Data!B348,DATEVALUE(Raw_Data!B348)),"")</f>
        <v>46174</v>
      </c>
      <c r="C348" t="str">
        <f>PROPER(TRIM(Raw_Data!C348))</f>
        <v>Ravi</v>
      </c>
      <c r="D348" t="str">
        <f>IF(TRIM(Raw_Data!D348)="Bangalore","Bengaluru",IF(TRIM(Raw_Data!D348)="Mysore","Mysuru",IF(TRIM(Raw_Data!D348)="Cochin","Kochi",PROPER(TRIM(Raw_Data!D348)))))</f>
        <v>Chennai</v>
      </c>
      <c r="E348" t="str">
        <f>PROPER(TRIM(Raw_Data!E348))</f>
        <v>Corporate</v>
      </c>
      <c r="F348" t="str">
        <f>PROPER(TRIM(Raw_Data!F348))</f>
        <v>Consumer</v>
      </c>
      <c r="G348" t="str">
        <f>PROPER(TRIM(Raw_Data!G348))</f>
        <v>Monitor</v>
      </c>
      <c r="H348" t="str">
        <f>PROPER(TRIM(Raw_Data!H348))</f>
        <v>Monitor 24</v>
      </c>
      <c r="I348">
        <f>IFERROR(MAX(0,VALUE(Raw_Data!I348)),0)</f>
        <v>3</v>
      </c>
      <c r="J348" s="13">
        <f>IFERROR(VALUE(Raw_Data!J348),0)</f>
        <v>22149</v>
      </c>
      <c r="K348" s="14">
        <f>IFERROR(VALUE(Raw_Data!K348),0)</f>
        <v>0.08</v>
      </c>
      <c r="L348" t="str">
        <f>PROPER(TRIM(Raw_Data!L348))</f>
        <v>Delivered</v>
      </c>
      <c r="M348" s="13">
        <f t="shared" si="40"/>
        <v>66447</v>
      </c>
      <c r="N348" s="13">
        <f t="shared" si="41"/>
        <v>5315.76</v>
      </c>
      <c r="O348" s="13">
        <f t="shared" si="42"/>
        <v>61131.24</v>
      </c>
      <c r="P348" s="13">
        <f t="shared" si="43"/>
        <v>46512.9</v>
      </c>
      <c r="Q348" s="13">
        <f t="shared" si="44"/>
        <v>14618.34</v>
      </c>
      <c r="R348" s="10">
        <f t="shared" si="45"/>
        <v>0.239130434782609</v>
      </c>
      <c r="S348" t="str">
        <f t="shared" si="46"/>
        <v>Jun-2026</v>
      </c>
      <c r="T348" t="str">
        <f t="shared" si="47"/>
        <v>OK</v>
      </c>
    </row>
    <row r="349" spans="1:20">
      <c r="A349" t="str">
        <f>TRIM(Raw_Data!A349)</f>
        <v>ORD-10348</v>
      </c>
      <c r="B349" s="12">
        <f>IFERROR(IF(ISNUMBER(Raw_Data!B349),Raw_Data!B349,DATEVALUE(Raw_Data!B349)),"")</f>
        <v>46112</v>
      </c>
      <c r="C349" t="str">
        <f>PROPER(TRIM(Raw_Data!C349))</f>
        <v>Ravi</v>
      </c>
      <c r="D349" t="str">
        <f>IF(TRIM(Raw_Data!D349)="Bangalore","Bengaluru",IF(TRIM(Raw_Data!D349)="Mysore","Mysuru",IF(TRIM(Raw_Data!D349)="Cochin","Kochi",PROPER(TRIM(Raw_Data!D349)))))</f>
        <v>Delhi</v>
      </c>
      <c r="E349" t="str">
        <f>PROPER(TRIM(Raw_Data!E349))</f>
        <v>Retail Store</v>
      </c>
      <c r="F349" t="str">
        <f>PROPER(TRIM(Raw_Data!F349))</f>
        <v>Enterprise</v>
      </c>
      <c r="G349" t="str">
        <f>PROPER(TRIM(Raw_Data!G349))</f>
        <v>Mouse</v>
      </c>
      <c r="H349" t="str">
        <f>PROPER(TRIM(Raw_Data!H349))</f>
        <v>Mouse Wireless</v>
      </c>
      <c r="I349">
        <f>IFERROR(MAX(0,VALUE(Raw_Data!I349)),0)</f>
        <v>6</v>
      </c>
      <c r="J349" s="13">
        <f>IFERROR(VALUE(Raw_Data!J349),0)</f>
        <v>702</v>
      </c>
      <c r="K349" s="14">
        <f>IFERROR(VALUE(Raw_Data!K349),0)</f>
        <v>0.02</v>
      </c>
      <c r="L349" t="str">
        <f>PROPER(TRIM(Raw_Data!L349))</f>
        <v>Delivered</v>
      </c>
      <c r="M349" s="13">
        <f t="shared" si="40"/>
        <v>4212</v>
      </c>
      <c r="N349" s="13">
        <f t="shared" si="41"/>
        <v>84.24</v>
      </c>
      <c r="O349" s="13">
        <f t="shared" si="42"/>
        <v>4127.76</v>
      </c>
      <c r="P349" s="13">
        <f t="shared" si="43"/>
        <v>2316.6</v>
      </c>
      <c r="Q349" s="13">
        <f t="shared" si="44"/>
        <v>1811.16</v>
      </c>
      <c r="R349" s="10">
        <f t="shared" si="45"/>
        <v>0.438775510204082</v>
      </c>
      <c r="S349" t="str">
        <f t="shared" si="46"/>
        <v>Mar-2026</v>
      </c>
      <c r="T349" t="str">
        <f t="shared" si="47"/>
        <v>OK</v>
      </c>
    </row>
    <row r="350" spans="1:20">
      <c r="A350" t="str">
        <f>TRIM(Raw_Data!A350)</f>
        <v>ORD-10349</v>
      </c>
      <c r="B350" s="12">
        <f>IFERROR(IF(ISNUMBER(Raw_Data!B350),Raw_Data!B350,DATEVALUE(Raw_Data!B350)),"")</f>
        <v>46177</v>
      </c>
      <c r="C350" t="str">
        <f>PROPER(TRIM(Raw_Data!C350))</f>
        <v>Meghana</v>
      </c>
      <c r="D350" t="str">
        <f>IF(TRIM(Raw_Data!D350)="Bangalore","Bengaluru",IF(TRIM(Raw_Data!D350)="Mysore","Mysuru",IF(TRIM(Raw_Data!D350)="Cochin","Kochi",PROPER(TRIM(Raw_Data!D350)))))</f>
        <v>Mumbai</v>
      </c>
      <c r="E350" t="str">
        <f>PROPER(TRIM(Raw_Data!E350))</f>
        <v>Online</v>
      </c>
      <c r="F350" t="str">
        <f>PROPER(TRIM(Raw_Data!F350))</f>
        <v>Consumer</v>
      </c>
      <c r="G350" t="str">
        <f>PROPER(TRIM(Raw_Data!G350))</f>
        <v>Keyboard</v>
      </c>
      <c r="H350" t="str">
        <f>PROPER(TRIM(Raw_Data!H350))</f>
        <v>Keyboard Wireless</v>
      </c>
      <c r="I350">
        <f>IFERROR(MAX(0,VALUE(Raw_Data!I350)),0)</f>
        <v>2</v>
      </c>
      <c r="J350" s="13">
        <f>IFERROR(VALUE(Raw_Data!J350),0)</f>
        <v>1914</v>
      </c>
      <c r="K350" s="14">
        <f>IFERROR(VALUE(Raw_Data!K350),0)</f>
        <v>0</v>
      </c>
      <c r="L350" t="str">
        <f>PROPER(TRIM(Raw_Data!L350))</f>
        <v>Cancelled</v>
      </c>
      <c r="M350" s="13">
        <f t="shared" si="40"/>
        <v>3828</v>
      </c>
      <c r="N350" s="13">
        <f t="shared" si="41"/>
        <v>0</v>
      </c>
      <c r="O350" s="13">
        <f t="shared" si="42"/>
        <v>3828</v>
      </c>
      <c r="P350" s="13">
        <f t="shared" si="43"/>
        <v>2220.24</v>
      </c>
      <c r="Q350" s="13">
        <f t="shared" si="44"/>
        <v>1607.76</v>
      </c>
      <c r="R350" s="10">
        <f t="shared" si="45"/>
        <v>0.42</v>
      </c>
      <c r="S350" t="str">
        <f t="shared" si="46"/>
        <v>Jun-2026</v>
      </c>
      <c r="T350" t="str">
        <f t="shared" si="47"/>
        <v>OK</v>
      </c>
    </row>
    <row r="351" spans="1:20">
      <c r="A351" t="str">
        <f>TRIM(Raw_Data!A351)</f>
        <v>ORD-10350</v>
      </c>
      <c r="B351" s="12">
        <f>IFERROR(IF(ISNUMBER(Raw_Data!B351),Raw_Data!B351,DATEVALUE(Raw_Data!B351)),"")</f>
        <v>46087</v>
      </c>
      <c r="C351" t="str">
        <f>PROPER(TRIM(Raw_Data!C351))</f>
        <v>Priya</v>
      </c>
      <c r="D351" t="str">
        <f>IF(TRIM(Raw_Data!D351)="Bangalore","Bengaluru",IF(TRIM(Raw_Data!D351)="Mysore","Mysuru",IF(TRIM(Raw_Data!D351)="Cochin","Kochi",PROPER(TRIM(Raw_Data!D351)))))</f>
        <v>Delhi</v>
      </c>
      <c r="E351" t="str">
        <f>PROPER(TRIM(Raw_Data!E351))</f>
        <v>Online</v>
      </c>
      <c r="F351" t="str">
        <f>PROPER(TRIM(Raw_Data!F351))</f>
        <v>Consumer</v>
      </c>
      <c r="G351" t="str">
        <f>PROPER(TRIM(Raw_Data!G351))</f>
        <v>Headset</v>
      </c>
      <c r="H351" t="str">
        <f>PROPER(TRIM(Raw_Data!H351))</f>
        <v>Headset Wireless</v>
      </c>
      <c r="I351">
        <f>IFERROR(MAX(0,VALUE(Raw_Data!I351)),0)</f>
        <v>7</v>
      </c>
      <c r="J351" s="13">
        <f>IFERROR(VALUE(Raw_Data!J351),0)</f>
        <v>5455</v>
      </c>
      <c r="K351" s="14">
        <f>IFERROR(VALUE(Raw_Data!K351),0)</f>
        <v>0.1</v>
      </c>
      <c r="L351" t="str">
        <f>PROPER(TRIM(Raw_Data!L351))</f>
        <v>Cancelled</v>
      </c>
      <c r="M351" s="13">
        <f t="shared" si="40"/>
        <v>38185</v>
      </c>
      <c r="N351" s="13">
        <f t="shared" si="41"/>
        <v>3818.5</v>
      </c>
      <c r="O351" s="13">
        <f t="shared" si="42"/>
        <v>34366.5</v>
      </c>
      <c r="P351" s="13">
        <f t="shared" si="43"/>
        <v>22911</v>
      </c>
      <c r="Q351" s="13">
        <f t="shared" si="44"/>
        <v>11455.5</v>
      </c>
      <c r="R351" s="10">
        <f t="shared" si="45"/>
        <v>0.333333333333333</v>
      </c>
      <c r="S351" t="str">
        <f t="shared" si="46"/>
        <v>Mar-2026</v>
      </c>
      <c r="T351" t="str">
        <f t="shared" si="47"/>
        <v>OK</v>
      </c>
    </row>
    <row r="352" spans="1:20">
      <c r="A352" t="str">
        <f>TRIM(Raw_Data!A352)</f>
        <v>ORD-10351</v>
      </c>
      <c r="B352" s="12">
        <f>IFERROR(IF(ISNUMBER(Raw_Data!B352),Raw_Data!B352,DATEVALUE(Raw_Data!B352)),"")</f>
        <v>46121</v>
      </c>
      <c r="C352" t="str">
        <f>PROPER(TRIM(Raw_Data!C352))</f>
        <v>Asha</v>
      </c>
      <c r="D352" t="str">
        <f>IF(TRIM(Raw_Data!D352)="Bangalore","Bengaluru",IF(TRIM(Raw_Data!D352)="Mysore","Mysuru",IF(TRIM(Raw_Data!D352)="Cochin","Kochi",PROPER(TRIM(Raw_Data!D352)))))</f>
        <v>Kochi</v>
      </c>
      <c r="E352" t="str">
        <f>PROPER(TRIM(Raw_Data!E352))</f>
        <v>Retail Store</v>
      </c>
      <c r="F352" t="str">
        <f>PROPER(TRIM(Raw_Data!F352))</f>
        <v>Consumer</v>
      </c>
      <c r="G352" t="str">
        <f>PROPER(TRIM(Raw_Data!G352))</f>
        <v>Headset</v>
      </c>
      <c r="H352" t="str">
        <f>PROPER(TRIM(Raw_Data!H352))</f>
        <v>Headset Wireless</v>
      </c>
      <c r="I352">
        <f>IFERROR(MAX(0,VALUE(Raw_Data!I352)),0)</f>
        <v>3</v>
      </c>
      <c r="J352" s="13">
        <f>IFERROR(VALUE(Raw_Data!J352),0)</f>
        <v>1529</v>
      </c>
      <c r="K352" s="14">
        <f>IFERROR(VALUE(Raw_Data!K352),0)</f>
        <v>0.1</v>
      </c>
      <c r="L352" t="str">
        <f>PROPER(TRIM(Raw_Data!L352))</f>
        <v>Delivered</v>
      </c>
      <c r="M352" s="13">
        <f t="shared" si="40"/>
        <v>4587</v>
      </c>
      <c r="N352" s="13">
        <f t="shared" si="41"/>
        <v>458.7</v>
      </c>
      <c r="O352" s="13">
        <f t="shared" si="42"/>
        <v>4128.3</v>
      </c>
      <c r="P352" s="13">
        <f t="shared" si="43"/>
        <v>2752.2</v>
      </c>
      <c r="Q352" s="13">
        <f t="shared" si="44"/>
        <v>1376.1</v>
      </c>
      <c r="R352" s="10">
        <f t="shared" si="45"/>
        <v>0.333333333333333</v>
      </c>
      <c r="S352" t="str">
        <f t="shared" si="46"/>
        <v>Apr-2026</v>
      </c>
      <c r="T352" t="str">
        <f t="shared" si="47"/>
        <v>OK</v>
      </c>
    </row>
    <row r="353" spans="1:20">
      <c r="A353" t="str">
        <f>TRIM(Raw_Data!A353)</f>
        <v>ORD-10352</v>
      </c>
      <c r="B353" s="12">
        <f>IFERROR(IF(ISNUMBER(Raw_Data!B353),Raw_Data!B353,DATEVALUE(Raw_Data!B353)),"")</f>
        <v>46186</v>
      </c>
      <c r="C353" t="str">
        <f>PROPER(TRIM(Raw_Data!C353))</f>
        <v>Arjun</v>
      </c>
      <c r="D353" t="str">
        <f>IF(TRIM(Raw_Data!D353)="Bangalore","Bengaluru",IF(TRIM(Raw_Data!D353)="Mysore","Mysuru",IF(TRIM(Raw_Data!D353)="Cochin","Kochi",PROPER(TRIM(Raw_Data!D353)))))</f>
        <v>Hyderabad</v>
      </c>
      <c r="E353" t="str">
        <f>PROPER(TRIM(Raw_Data!E353))</f>
        <v>Corporate</v>
      </c>
      <c r="F353" t="str">
        <f>PROPER(TRIM(Raw_Data!F353))</f>
        <v>Smb</v>
      </c>
      <c r="G353" t="str">
        <f>PROPER(TRIM(Raw_Data!G353))</f>
        <v>Monitor</v>
      </c>
      <c r="H353" t="str">
        <f>PROPER(TRIM(Raw_Data!H353))</f>
        <v>Monitor 27</v>
      </c>
      <c r="I353">
        <f>IFERROR(MAX(0,VALUE(Raw_Data!I353)),0)</f>
        <v>2</v>
      </c>
      <c r="J353" s="13">
        <f>IFERROR(VALUE(Raw_Data!J353),0)</f>
        <v>10688</v>
      </c>
      <c r="K353" s="14">
        <f>IFERROR(VALUE(Raw_Data!K353),0)</f>
        <v>0</v>
      </c>
      <c r="L353" t="str">
        <f>PROPER(TRIM(Raw_Data!L353))</f>
        <v>Returned</v>
      </c>
      <c r="M353" s="13">
        <f t="shared" si="40"/>
        <v>21376</v>
      </c>
      <c r="N353" s="13">
        <f t="shared" si="41"/>
        <v>0</v>
      </c>
      <c r="O353" s="13">
        <f t="shared" si="42"/>
        <v>21376</v>
      </c>
      <c r="P353" s="13">
        <f t="shared" si="43"/>
        <v>14963.2</v>
      </c>
      <c r="Q353" s="13">
        <f t="shared" si="44"/>
        <v>6412.8</v>
      </c>
      <c r="R353" s="10">
        <f t="shared" si="45"/>
        <v>0.3</v>
      </c>
      <c r="S353" t="str">
        <f t="shared" si="46"/>
        <v>Jun-2026</v>
      </c>
      <c r="T353" t="str">
        <f t="shared" si="47"/>
        <v>OK</v>
      </c>
    </row>
    <row r="354" spans="1:20">
      <c r="A354" t="str">
        <f>TRIM(Raw_Data!A354)</f>
        <v>ORD-10353</v>
      </c>
      <c r="B354" s="12">
        <f>IFERROR(IF(ISNUMBER(Raw_Data!B354),Raw_Data!B354,DATEVALUE(Raw_Data!B354)),"")</f>
        <v>46027</v>
      </c>
      <c r="C354" t="str">
        <f>PROPER(TRIM(Raw_Data!C354))</f>
        <v>Kiran</v>
      </c>
      <c r="D354" t="str">
        <f>IF(TRIM(Raw_Data!D354)="Bangalore","Bengaluru",IF(TRIM(Raw_Data!D354)="Mysore","Mysuru",IF(TRIM(Raw_Data!D354)="Cochin","Kochi",PROPER(TRIM(Raw_Data!D354)))))</f>
        <v>Chennai</v>
      </c>
      <c r="E354" t="str">
        <f>PROPER(TRIM(Raw_Data!E354))</f>
        <v>Corporate</v>
      </c>
      <c r="F354" t="str">
        <f>PROPER(TRIM(Raw_Data!F354))</f>
        <v>Smb</v>
      </c>
      <c r="G354" t="str">
        <f>PROPER(TRIM(Raw_Data!G354))</f>
        <v>Headset</v>
      </c>
      <c r="H354" t="str">
        <f>PROPER(TRIM(Raw_Data!H354))</f>
        <v>Headset Office</v>
      </c>
      <c r="I354">
        <f>IFERROR(MAX(0,VALUE(Raw_Data!I354)),0)</f>
        <v>6</v>
      </c>
      <c r="J354" s="13">
        <f>IFERROR(VALUE(Raw_Data!J354),0)</f>
        <v>3307</v>
      </c>
      <c r="K354" s="14">
        <f>IFERROR(VALUE(Raw_Data!K354),0)</f>
        <v>0.05</v>
      </c>
      <c r="L354" t="str">
        <f>PROPER(TRIM(Raw_Data!L354))</f>
        <v>Delivered</v>
      </c>
      <c r="M354" s="13">
        <f t="shared" si="40"/>
        <v>19842</v>
      </c>
      <c r="N354" s="13">
        <f t="shared" si="41"/>
        <v>992.1</v>
      </c>
      <c r="O354" s="13">
        <f t="shared" si="42"/>
        <v>18849.9</v>
      </c>
      <c r="P354" s="13">
        <f t="shared" si="43"/>
        <v>11905.2</v>
      </c>
      <c r="Q354" s="13">
        <f t="shared" si="44"/>
        <v>6944.7</v>
      </c>
      <c r="R354" s="10">
        <f t="shared" si="45"/>
        <v>0.368421052631579</v>
      </c>
      <c r="S354" t="str">
        <f t="shared" si="46"/>
        <v>Jan-2026</v>
      </c>
      <c r="T354" t="str">
        <f t="shared" si="47"/>
        <v>OK</v>
      </c>
    </row>
    <row r="355" spans="1:20">
      <c r="A355" t="str">
        <f>TRIM(Raw_Data!A355)</f>
        <v>ORD-10354</v>
      </c>
      <c r="B355" s="12">
        <f>IFERROR(IF(ISNUMBER(Raw_Data!B355),Raw_Data!B355,DATEVALUE(Raw_Data!B355)),"")</f>
        <v>46095</v>
      </c>
      <c r="C355" t="str">
        <f>PROPER(TRIM(Raw_Data!C355))</f>
        <v>Kiran</v>
      </c>
      <c r="D355" t="str">
        <f>IF(TRIM(Raw_Data!D355)="Bangalore","Bengaluru",IF(TRIM(Raw_Data!D355)="Mysore","Mysuru",IF(TRIM(Raw_Data!D355)="Cochin","Kochi",PROPER(TRIM(Raw_Data!D355)))))</f>
        <v>Hydrabad</v>
      </c>
      <c r="E355" t="str">
        <f>PROPER(TRIM(Raw_Data!E355))</f>
        <v>Corporate</v>
      </c>
      <c r="F355" t="str">
        <f>PROPER(TRIM(Raw_Data!F355))</f>
        <v>Smb</v>
      </c>
      <c r="G355" t="str">
        <f>PROPER(TRIM(Raw_Data!G355))</f>
        <v>Laptop</v>
      </c>
      <c r="H355" t="str">
        <f>PROPER(TRIM(Raw_Data!H355))</f>
        <v>Laptop Air 13</v>
      </c>
      <c r="I355">
        <f>IFERROR(MAX(0,VALUE(Raw_Data!I355)),0)</f>
        <v>0</v>
      </c>
      <c r="J355" s="13">
        <f>IFERROR(VALUE(Raw_Data!J355),0)</f>
        <v>56647</v>
      </c>
      <c r="K355" s="14">
        <f>IFERROR(VALUE(Raw_Data!K355),0)</f>
        <v>0.08</v>
      </c>
      <c r="L355" t="str">
        <f>PROPER(TRIM(Raw_Data!L355))</f>
        <v>Delivered</v>
      </c>
      <c r="M355" s="13">
        <f t="shared" si="40"/>
        <v>0</v>
      </c>
      <c r="N355" s="13">
        <f t="shared" si="41"/>
        <v>0</v>
      </c>
      <c r="O355" s="13">
        <f t="shared" si="42"/>
        <v>0</v>
      </c>
      <c r="P355" s="13">
        <f t="shared" si="43"/>
        <v>0</v>
      </c>
      <c r="Q355" s="13">
        <f t="shared" si="44"/>
        <v>0</v>
      </c>
      <c r="R355" s="10">
        <f t="shared" si="45"/>
        <v>0</v>
      </c>
      <c r="S355" t="str">
        <f t="shared" si="46"/>
        <v>Mar-2026</v>
      </c>
      <c r="T355" t="str">
        <f t="shared" si="47"/>
        <v>CHECK</v>
      </c>
    </row>
    <row r="356" spans="1:20">
      <c r="A356" t="str">
        <f>TRIM(Raw_Data!A356)</f>
        <v>ORD-10355</v>
      </c>
      <c r="B356" s="12">
        <f>IFERROR(IF(ISNUMBER(Raw_Data!B356),Raw_Data!B356,DATEVALUE(Raw_Data!B356)),"")</f>
        <v>46220</v>
      </c>
      <c r="C356" t="str">
        <f>PROPER(TRIM(Raw_Data!C356))</f>
        <v>Neha</v>
      </c>
      <c r="D356" t="str">
        <f>IF(TRIM(Raw_Data!D356)="Bangalore","Bengaluru",IF(TRIM(Raw_Data!D356)="Mysore","Mysuru",IF(TRIM(Raw_Data!D356)="Cochin","Kochi",PROPER(TRIM(Raw_Data!D356)))))</f>
        <v>Hyderabad</v>
      </c>
      <c r="E356" t="str">
        <f>PROPER(TRIM(Raw_Data!E356))</f>
        <v>Online</v>
      </c>
      <c r="F356" t="str">
        <f>PROPER(TRIM(Raw_Data!F356))</f>
        <v>Enterprise</v>
      </c>
      <c r="G356" t="str">
        <f>PROPER(TRIM(Raw_Data!G356))</f>
        <v>Laptop</v>
      </c>
      <c r="H356" t="str">
        <f>PROPER(TRIM(Raw_Data!H356))</f>
        <v>Laptop Air 13</v>
      </c>
      <c r="I356">
        <f>IFERROR(MAX(0,VALUE(Raw_Data!I356)),0)</f>
        <v>6</v>
      </c>
      <c r="J356" s="13">
        <f>IFERROR(VALUE(Raw_Data!J356),0)</f>
        <v>84297</v>
      </c>
      <c r="K356" s="14">
        <f>IFERROR(VALUE(Raw_Data!K356),0)</f>
        <v>0.15</v>
      </c>
      <c r="L356" t="str">
        <f>PROPER(TRIM(Raw_Data!L356))</f>
        <v>Delivered</v>
      </c>
      <c r="M356" s="13">
        <f t="shared" si="40"/>
        <v>505782</v>
      </c>
      <c r="N356" s="13">
        <f t="shared" si="41"/>
        <v>75867.3</v>
      </c>
      <c r="O356" s="13">
        <f t="shared" si="42"/>
        <v>429914.7</v>
      </c>
      <c r="P356" s="13">
        <f t="shared" si="43"/>
        <v>394509.96</v>
      </c>
      <c r="Q356" s="13">
        <f t="shared" si="44"/>
        <v>35404.74</v>
      </c>
      <c r="R356" s="10">
        <f t="shared" si="45"/>
        <v>0.0823529411764706</v>
      </c>
      <c r="S356" t="str">
        <f t="shared" si="46"/>
        <v>Jul-2026</v>
      </c>
      <c r="T356" t="str">
        <f t="shared" si="47"/>
        <v>OK</v>
      </c>
    </row>
    <row r="357" spans="1:20">
      <c r="A357" t="str">
        <f>TRIM(Raw_Data!A357)</f>
        <v>ORD-10356</v>
      </c>
      <c r="B357" s="12">
        <f>IFERROR(IF(ISNUMBER(Raw_Data!B357),Raw_Data!B357,DATEVALUE(Raw_Data!B357)),"")</f>
        <v>46249</v>
      </c>
      <c r="C357" t="str">
        <f>PROPER(TRIM(Raw_Data!C357))</f>
        <v>Kiran</v>
      </c>
      <c r="D357" t="str">
        <f>IF(TRIM(Raw_Data!D357)="Bangalore","Bengaluru",IF(TRIM(Raw_Data!D357)="Mysore","Mysuru",IF(TRIM(Raw_Data!D357)="Cochin","Kochi",PROPER(TRIM(Raw_Data!D357)))))</f>
        <v>Bengaluru</v>
      </c>
      <c r="E357" t="str">
        <f>PROPER(TRIM(Raw_Data!E357))</f>
        <v>Online</v>
      </c>
      <c r="F357" t="str">
        <f>PROPER(TRIM(Raw_Data!F357))</f>
        <v>Smb</v>
      </c>
      <c r="G357" t="str">
        <f>PROPER(TRIM(Raw_Data!G357))</f>
        <v>Mouse</v>
      </c>
      <c r="H357" t="str">
        <f>PROPER(TRIM(Raw_Data!H357))</f>
        <v>Mouse Wireless</v>
      </c>
      <c r="I357">
        <f>IFERROR(MAX(0,VALUE(Raw_Data!I357)),0)</f>
        <v>3</v>
      </c>
      <c r="J357" s="13">
        <f>IFERROR(VALUE(Raw_Data!J357),0)</f>
        <v>2449</v>
      </c>
      <c r="K357" s="14">
        <f>IFERROR(VALUE(Raw_Data!K357),0)</f>
        <v>0.05</v>
      </c>
      <c r="L357" t="str">
        <f>PROPER(TRIM(Raw_Data!L357))</f>
        <v>Returned</v>
      </c>
      <c r="M357" s="13">
        <f t="shared" si="40"/>
        <v>7347</v>
      </c>
      <c r="N357" s="13">
        <f t="shared" si="41"/>
        <v>367.35</v>
      </c>
      <c r="O357" s="13">
        <f t="shared" si="42"/>
        <v>6979.65</v>
      </c>
      <c r="P357" s="13">
        <f t="shared" si="43"/>
        <v>4040.85</v>
      </c>
      <c r="Q357" s="13">
        <f t="shared" si="44"/>
        <v>2938.8</v>
      </c>
      <c r="R357" s="10">
        <f t="shared" si="45"/>
        <v>0.421052631578947</v>
      </c>
      <c r="S357" t="str">
        <f t="shared" si="46"/>
        <v>Aug-2026</v>
      </c>
      <c r="T357" t="str">
        <f t="shared" si="47"/>
        <v>OK</v>
      </c>
    </row>
    <row r="358" spans="1:20">
      <c r="A358" t="str">
        <f>TRIM(Raw_Data!A358)</f>
        <v>ORD-10357</v>
      </c>
      <c r="B358" s="12">
        <f>IFERROR(IF(ISNUMBER(Raw_Data!B358),Raw_Data!B358,DATEVALUE(Raw_Data!B358)),"")</f>
        <v>46068</v>
      </c>
      <c r="C358" t="str">
        <f>PROPER(TRIM(Raw_Data!C358))</f>
        <v>Ravi</v>
      </c>
      <c r="D358" t="str">
        <f>IF(TRIM(Raw_Data!D358)="Bangalore","Bengaluru",IF(TRIM(Raw_Data!D358)="Mysore","Mysuru",IF(TRIM(Raw_Data!D358)="Cochin","Kochi",PROPER(TRIM(Raw_Data!D358)))))</f>
        <v>Delhi</v>
      </c>
      <c r="E358" t="str">
        <f>PROPER(TRIM(Raw_Data!E358))</f>
        <v>Retail Store</v>
      </c>
      <c r="F358" t="str">
        <f>PROPER(TRIM(Raw_Data!F358))</f>
        <v>Consumer</v>
      </c>
      <c r="G358" t="str">
        <f>PROPER(TRIM(Raw_Data!G358))</f>
        <v>Mouse</v>
      </c>
      <c r="H358" t="str">
        <f>PROPER(TRIM(Raw_Data!H358))</f>
        <v>Mouse Basic</v>
      </c>
      <c r="I358">
        <f>IFERROR(MAX(0,VALUE(Raw_Data!I358)),0)</f>
        <v>5</v>
      </c>
      <c r="J358" s="13">
        <f>IFERROR(VALUE(Raw_Data!J358),0)</f>
        <v>1315</v>
      </c>
      <c r="K358" s="14">
        <f>IFERROR(VALUE(Raw_Data!K358),0)</f>
        <v>0.1</v>
      </c>
      <c r="L358" t="str">
        <f>PROPER(TRIM(Raw_Data!L358))</f>
        <v>Delivered</v>
      </c>
      <c r="M358" s="13">
        <f t="shared" si="40"/>
        <v>6575</v>
      </c>
      <c r="N358" s="13">
        <f t="shared" si="41"/>
        <v>657.5</v>
      </c>
      <c r="O358" s="13">
        <f t="shared" si="42"/>
        <v>5917.5</v>
      </c>
      <c r="P358" s="13">
        <f t="shared" si="43"/>
        <v>3616.25</v>
      </c>
      <c r="Q358" s="13">
        <f t="shared" si="44"/>
        <v>2301.25</v>
      </c>
      <c r="R358" s="10">
        <f t="shared" si="45"/>
        <v>0.388888888888889</v>
      </c>
      <c r="S358" t="str">
        <f t="shared" si="46"/>
        <v>Feb-2026</v>
      </c>
      <c r="T358" t="str">
        <f t="shared" si="47"/>
        <v>OK</v>
      </c>
    </row>
    <row r="359" spans="1:20">
      <c r="A359" t="str">
        <f>TRIM(Raw_Data!A359)</f>
        <v>ORD-10358</v>
      </c>
      <c r="B359" s="12">
        <f>IFERROR(IF(ISNUMBER(Raw_Data!B359),Raw_Data!B359,DATEVALUE(Raw_Data!B359)),"")</f>
        <v>46145</v>
      </c>
      <c r="C359" t="str">
        <f>PROPER(TRIM(Raw_Data!C359))</f>
        <v>Kiran</v>
      </c>
      <c r="D359" t="str">
        <f>IF(TRIM(Raw_Data!D359)="Bangalore","Bengaluru",IF(TRIM(Raw_Data!D359)="Mysore","Mysuru",IF(TRIM(Raw_Data!D359)="Cochin","Kochi",PROPER(TRIM(Raw_Data!D359)))))</f>
        <v>Kochi</v>
      </c>
      <c r="E359" t="str">
        <f>PROPER(TRIM(Raw_Data!E359))</f>
        <v>Corporate</v>
      </c>
      <c r="F359" t="str">
        <f>PROPER(TRIM(Raw_Data!F359))</f>
        <v>Enterprise</v>
      </c>
      <c r="G359" t="str">
        <f>PROPER(TRIM(Raw_Data!G359))</f>
        <v>Laptop</v>
      </c>
      <c r="H359" t="str">
        <f>PROPER(TRIM(Raw_Data!H359))</f>
        <v>Laptop Pro 14</v>
      </c>
      <c r="I359">
        <f>IFERROR(MAX(0,VALUE(Raw_Data!I359)),0)</f>
        <v>3</v>
      </c>
      <c r="J359" s="13">
        <f>IFERROR(VALUE(Raw_Data!J359),0)</f>
        <v>63250</v>
      </c>
      <c r="K359" s="14">
        <f>IFERROR(VALUE(Raw_Data!K359),0)</f>
        <v>0.08</v>
      </c>
      <c r="L359" t="str">
        <f>PROPER(TRIM(Raw_Data!L359))</f>
        <v>Delivered</v>
      </c>
      <c r="M359" s="13">
        <f t="shared" si="40"/>
        <v>189750</v>
      </c>
      <c r="N359" s="13">
        <f t="shared" si="41"/>
        <v>15180</v>
      </c>
      <c r="O359" s="13">
        <f t="shared" si="42"/>
        <v>174570</v>
      </c>
      <c r="P359" s="13">
        <f t="shared" si="43"/>
        <v>148005</v>
      </c>
      <c r="Q359" s="13">
        <f t="shared" si="44"/>
        <v>26565</v>
      </c>
      <c r="R359" s="10">
        <f t="shared" si="45"/>
        <v>0.152173913043478</v>
      </c>
      <c r="S359" t="str">
        <f t="shared" si="46"/>
        <v>May-2026</v>
      </c>
      <c r="T359" t="str">
        <f t="shared" si="47"/>
        <v>OK</v>
      </c>
    </row>
    <row r="360" spans="1:20">
      <c r="A360" t="str">
        <f>TRIM(Raw_Data!A360)</f>
        <v>ORD-10359</v>
      </c>
      <c r="B360" s="12">
        <f>IFERROR(IF(ISNUMBER(Raw_Data!B360),Raw_Data!B360,DATEVALUE(Raw_Data!B360)),"")</f>
        <v>46206</v>
      </c>
      <c r="C360" t="str">
        <f>PROPER(TRIM(Raw_Data!C360))</f>
        <v>Priya</v>
      </c>
      <c r="D360" t="str">
        <f>IF(TRIM(Raw_Data!D360)="Bangalore","Bengaluru",IF(TRIM(Raw_Data!D360)="Mysore","Mysuru",IF(TRIM(Raw_Data!D360)="Cochin","Kochi",PROPER(TRIM(Raw_Data!D360)))))</f>
        <v>Pune</v>
      </c>
      <c r="E360" t="str">
        <f>PROPER(TRIM(Raw_Data!E360))</f>
        <v>Retail Store</v>
      </c>
      <c r="F360" t="str">
        <f>PROPER(TRIM(Raw_Data!F360))</f>
        <v>Smb</v>
      </c>
      <c r="G360" t="str">
        <f>PROPER(TRIM(Raw_Data!G360))</f>
        <v>Mouse</v>
      </c>
      <c r="H360" t="str">
        <f>PROPER(TRIM(Raw_Data!H360))</f>
        <v>Mouse Basic</v>
      </c>
      <c r="I360">
        <f>IFERROR(MAX(0,VALUE(Raw_Data!I360)),0)</f>
        <v>1</v>
      </c>
      <c r="J360" s="13">
        <f>IFERROR(VALUE(Raw_Data!J360),0)</f>
        <v>711</v>
      </c>
      <c r="K360" s="14">
        <f>IFERROR(VALUE(Raw_Data!K360),0)</f>
        <v>0.05</v>
      </c>
      <c r="L360" t="str">
        <f>PROPER(TRIM(Raw_Data!L360))</f>
        <v>Cancelled</v>
      </c>
      <c r="M360" s="13">
        <f t="shared" si="40"/>
        <v>711</v>
      </c>
      <c r="N360" s="13">
        <f t="shared" si="41"/>
        <v>35.55</v>
      </c>
      <c r="O360" s="13">
        <f t="shared" si="42"/>
        <v>675.45</v>
      </c>
      <c r="P360" s="13">
        <f t="shared" si="43"/>
        <v>391.05</v>
      </c>
      <c r="Q360" s="13">
        <f t="shared" si="44"/>
        <v>284.4</v>
      </c>
      <c r="R360" s="10">
        <f t="shared" si="45"/>
        <v>0.421052631578947</v>
      </c>
      <c r="S360" t="str">
        <f t="shared" si="46"/>
        <v>Jul-2026</v>
      </c>
      <c r="T360" t="str">
        <f t="shared" si="47"/>
        <v>OK</v>
      </c>
    </row>
    <row r="361" spans="1:20">
      <c r="A361" t="str">
        <f>TRIM(Raw_Data!A361)</f>
        <v>ORD-10360</v>
      </c>
      <c r="B361" s="12">
        <f>IFERROR(IF(ISNUMBER(Raw_Data!B361),Raw_Data!B361,DATEVALUE(Raw_Data!B361)),"")</f>
        <v>46053</v>
      </c>
      <c r="C361" t="str">
        <f>PROPER(TRIM(Raw_Data!C361))</f>
        <v>Asha</v>
      </c>
      <c r="D361" t="str">
        <f>IF(TRIM(Raw_Data!D361)="Bangalore","Bengaluru",IF(TRIM(Raw_Data!D361)="Mysore","Mysuru",IF(TRIM(Raw_Data!D361)="Cochin","Kochi",PROPER(TRIM(Raw_Data!D361)))))</f>
        <v>Bengaluru</v>
      </c>
      <c r="E361" t="str">
        <f>PROPER(TRIM(Raw_Data!E361))</f>
        <v>Online</v>
      </c>
      <c r="F361" t="str">
        <f>PROPER(TRIM(Raw_Data!F361))</f>
        <v>Consumer</v>
      </c>
      <c r="G361" t="str">
        <f>PROPER(TRIM(Raw_Data!G361))</f>
        <v>Monitor</v>
      </c>
      <c r="H361" t="str">
        <f>PROPER(TRIM(Raw_Data!H361))</f>
        <v>Monitor 27</v>
      </c>
      <c r="I361">
        <f>IFERROR(MAX(0,VALUE(Raw_Data!I361)),0)</f>
        <v>2</v>
      </c>
      <c r="J361" s="13">
        <f>IFERROR(VALUE(Raw_Data!J361),0)</f>
        <v>21179</v>
      </c>
      <c r="K361" s="14">
        <f>IFERROR(VALUE(Raw_Data!K361),0)</f>
        <v>0.08</v>
      </c>
      <c r="L361" t="str">
        <f>PROPER(TRIM(Raw_Data!L361))</f>
        <v>Cancelled</v>
      </c>
      <c r="M361" s="13">
        <f t="shared" si="40"/>
        <v>42358</v>
      </c>
      <c r="N361" s="13">
        <f t="shared" si="41"/>
        <v>3388.64</v>
      </c>
      <c r="O361" s="13">
        <f t="shared" si="42"/>
        <v>38969.36</v>
      </c>
      <c r="P361" s="13">
        <f t="shared" si="43"/>
        <v>29650.6</v>
      </c>
      <c r="Q361" s="13">
        <f t="shared" si="44"/>
        <v>9318.76</v>
      </c>
      <c r="R361" s="10">
        <f t="shared" si="45"/>
        <v>0.239130434782609</v>
      </c>
      <c r="S361" t="str">
        <f t="shared" si="46"/>
        <v>Jan-2026</v>
      </c>
      <c r="T361" t="str">
        <f t="shared" si="47"/>
        <v>OK</v>
      </c>
    </row>
    <row r="362" spans="1:20">
      <c r="A362" t="str">
        <f>TRIM(Raw_Data!A362)</f>
        <v>ORD-10361</v>
      </c>
      <c r="B362" s="12">
        <f>IFERROR(IF(ISNUMBER(Raw_Data!B362),Raw_Data!B362,DATEVALUE(Raw_Data!B362)),"")</f>
        <v>46109</v>
      </c>
      <c r="C362" t="str">
        <f>PROPER(TRIM(Raw_Data!C362))</f>
        <v>Asha</v>
      </c>
      <c r="D362" t="str">
        <f>IF(TRIM(Raw_Data!D362)="Bangalore","Bengaluru",IF(TRIM(Raw_Data!D362)="Mysore","Mysuru",IF(TRIM(Raw_Data!D362)="Cochin","Kochi",PROPER(TRIM(Raw_Data!D362)))))</f>
        <v>Bengaluru</v>
      </c>
      <c r="E362" t="str">
        <f>PROPER(TRIM(Raw_Data!E362))</f>
        <v>Retail Store</v>
      </c>
      <c r="F362" t="str">
        <f>PROPER(TRIM(Raw_Data!F362))</f>
        <v>Enterprise</v>
      </c>
      <c r="G362" t="str">
        <f>PROPER(TRIM(Raw_Data!G362))</f>
        <v>Mouse</v>
      </c>
      <c r="H362" t="str">
        <f>PROPER(TRIM(Raw_Data!H362))</f>
        <v>Mouse Basic</v>
      </c>
      <c r="I362">
        <f>IFERROR(MAX(0,VALUE(Raw_Data!I362)),0)</f>
        <v>1</v>
      </c>
      <c r="J362" s="13">
        <f>IFERROR(VALUE(Raw_Data!J362),0)</f>
        <v>945</v>
      </c>
      <c r="K362" s="14">
        <f>IFERROR(VALUE(Raw_Data!K362),0)</f>
        <v>0.1</v>
      </c>
      <c r="L362" t="str">
        <f>PROPER(TRIM(Raw_Data!L362))</f>
        <v>Delivered</v>
      </c>
      <c r="M362" s="13">
        <f t="shared" si="40"/>
        <v>945</v>
      </c>
      <c r="N362" s="13">
        <f t="shared" si="41"/>
        <v>94.5</v>
      </c>
      <c r="O362" s="13">
        <f t="shared" si="42"/>
        <v>850.5</v>
      </c>
      <c r="P362" s="13">
        <f t="shared" si="43"/>
        <v>519.75</v>
      </c>
      <c r="Q362" s="13">
        <f t="shared" si="44"/>
        <v>330.75</v>
      </c>
      <c r="R362" s="10">
        <f t="shared" si="45"/>
        <v>0.388888888888889</v>
      </c>
      <c r="S362" t="str">
        <f t="shared" si="46"/>
        <v>Mar-2026</v>
      </c>
      <c r="T362" t="str">
        <f t="shared" si="47"/>
        <v>OK</v>
      </c>
    </row>
    <row r="363" spans="1:20">
      <c r="A363" t="str">
        <f>TRIM(Raw_Data!A363)</f>
        <v>ORD-10362</v>
      </c>
      <c r="B363" s="12">
        <f>IFERROR(IF(ISNUMBER(Raw_Data!B363),Raw_Data!B363,DATEVALUE(Raw_Data!B363)),"")</f>
        <v>46213</v>
      </c>
      <c r="C363" t="str">
        <f>PROPER(TRIM(Raw_Data!C363))</f>
        <v>Kiran</v>
      </c>
      <c r="D363" t="str">
        <f>IF(TRIM(Raw_Data!D363)="Bangalore","Bengaluru",IF(TRIM(Raw_Data!D363)="Mysore","Mysuru",IF(TRIM(Raw_Data!D363)="Cochin","Kochi",PROPER(TRIM(Raw_Data!D363)))))</f>
        <v>Bengaluru</v>
      </c>
      <c r="E363" t="str">
        <f>PROPER(TRIM(Raw_Data!E363))</f>
        <v>Retail Store</v>
      </c>
      <c r="F363" t="str">
        <f>PROPER(TRIM(Raw_Data!F363))</f>
        <v>Smb</v>
      </c>
      <c r="G363" t="str">
        <f>PROPER(TRIM(Raw_Data!G363))</f>
        <v>Monitor</v>
      </c>
      <c r="H363" t="str">
        <f>PROPER(TRIM(Raw_Data!H363))</f>
        <v>Monitor 27</v>
      </c>
      <c r="I363">
        <f>IFERROR(MAX(0,VALUE(Raw_Data!I363)),0)</f>
        <v>2</v>
      </c>
      <c r="J363" s="13">
        <f>IFERROR(VALUE(Raw_Data!J363),0)</f>
        <v>21854</v>
      </c>
      <c r="K363" s="14">
        <f>IFERROR(VALUE(Raw_Data!K363),0)</f>
        <v>0.15</v>
      </c>
      <c r="L363" t="str">
        <f>PROPER(TRIM(Raw_Data!L363))</f>
        <v>Pending</v>
      </c>
      <c r="M363" s="13">
        <f t="shared" si="40"/>
        <v>43708</v>
      </c>
      <c r="N363" s="13">
        <f t="shared" si="41"/>
        <v>6556.2</v>
      </c>
      <c r="O363" s="13">
        <f t="shared" si="42"/>
        <v>37151.8</v>
      </c>
      <c r="P363" s="13">
        <f t="shared" si="43"/>
        <v>30595.6</v>
      </c>
      <c r="Q363" s="13">
        <f t="shared" si="44"/>
        <v>6556.2</v>
      </c>
      <c r="R363" s="10">
        <f t="shared" si="45"/>
        <v>0.176470588235294</v>
      </c>
      <c r="S363" t="str">
        <f t="shared" si="46"/>
        <v>Jul-2026</v>
      </c>
      <c r="T363" t="str">
        <f t="shared" si="47"/>
        <v>OK</v>
      </c>
    </row>
    <row r="364" spans="1:20">
      <c r="A364" t="str">
        <f>TRIM(Raw_Data!A364)</f>
        <v>ORD-10363</v>
      </c>
      <c r="B364" s="12">
        <f>IFERROR(IF(ISNUMBER(Raw_Data!B364),Raw_Data!B364,DATEVALUE(Raw_Data!B364)),"")</f>
        <v>46175</v>
      </c>
      <c r="C364" t="str">
        <f>PROPER(TRIM(Raw_Data!C364))</f>
        <v>Neha</v>
      </c>
      <c r="D364" t="str">
        <f>IF(TRIM(Raw_Data!D364)="Bangalore","Bengaluru",IF(TRIM(Raw_Data!D364)="Mysore","Mysuru",IF(TRIM(Raw_Data!D364)="Cochin","Kochi",PROPER(TRIM(Raw_Data!D364)))))</f>
        <v>Pune</v>
      </c>
      <c r="E364" t="str">
        <f>PROPER(TRIM(Raw_Data!E364))</f>
        <v>Retail Store</v>
      </c>
      <c r="F364" t="str">
        <f>PROPER(TRIM(Raw_Data!F364))</f>
        <v>Enterprise</v>
      </c>
      <c r="G364" t="str">
        <f>PROPER(TRIM(Raw_Data!G364))</f>
        <v>Laptop</v>
      </c>
      <c r="H364" t="str">
        <f>PROPER(TRIM(Raw_Data!H364))</f>
        <v>Laptop Air 13</v>
      </c>
      <c r="I364">
        <f>IFERROR(MAX(0,VALUE(Raw_Data!I364)),0)</f>
        <v>2</v>
      </c>
      <c r="J364" s="13">
        <f>IFERROR(VALUE(Raw_Data!J364),0)</f>
        <v>81155</v>
      </c>
      <c r="K364" s="14">
        <f>IFERROR(VALUE(Raw_Data!K364),0)</f>
        <v>0.1</v>
      </c>
      <c r="L364" t="str">
        <f>PROPER(TRIM(Raw_Data!L364))</f>
        <v>Cancelled</v>
      </c>
      <c r="M364" s="13">
        <f t="shared" si="40"/>
        <v>162310</v>
      </c>
      <c r="N364" s="13">
        <f t="shared" si="41"/>
        <v>16231</v>
      </c>
      <c r="O364" s="13">
        <f t="shared" si="42"/>
        <v>146079</v>
      </c>
      <c r="P364" s="13">
        <f t="shared" si="43"/>
        <v>126601.8</v>
      </c>
      <c r="Q364" s="13">
        <f t="shared" si="44"/>
        <v>19477.2</v>
      </c>
      <c r="R364" s="10">
        <f t="shared" si="45"/>
        <v>0.133333333333333</v>
      </c>
      <c r="S364" t="str">
        <f t="shared" si="46"/>
        <v>Jun-2026</v>
      </c>
      <c r="T364" t="str">
        <f t="shared" si="47"/>
        <v>OK</v>
      </c>
    </row>
    <row r="365" spans="1:20">
      <c r="A365" t="str">
        <f>TRIM(Raw_Data!A365)</f>
        <v>ORD-10364</v>
      </c>
      <c r="B365" s="12">
        <f>IFERROR(IF(ISNUMBER(Raw_Data!B365),Raw_Data!B365,DATEVALUE(Raw_Data!B365)),"")</f>
        <v>46252</v>
      </c>
      <c r="C365" t="str">
        <f>PROPER(TRIM(Raw_Data!C365))</f>
        <v>Ravi</v>
      </c>
      <c r="D365" t="str">
        <f>IF(TRIM(Raw_Data!D365)="Bangalore","Bengaluru",IF(TRIM(Raw_Data!D365)="Mysore","Mysuru",IF(TRIM(Raw_Data!D365)="Cochin","Kochi",PROPER(TRIM(Raw_Data!D365)))))</f>
        <v>Hyderabad</v>
      </c>
      <c r="E365" t="str">
        <f>PROPER(TRIM(Raw_Data!E365))</f>
        <v>Corporate</v>
      </c>
      <c r="F365" t="str">
        <f>PROPER(TRIM(Raw_Data!F365))</f>
        <v>Smb</v>
      </c>
      <c r="G365" t="str">
        <f>PROPER(TRIM(Raw_Data!G365))</f>
        <v>Headset</v>
      </c>
      <c r="H365" t="str">
        <f>PROPER(TRIM(Raw_Data!H365))</f>
        <v>Headset Pro</v>
      </c>
      <c r="I365">
        <f>IFERROR(MAX(0,VALUE(Raw_Data!I365)),0)</f>
        <v>5</v>
      </c>
      <c r="J365" s="13">
        <f>IFERROR(VALUE(Raw_Data!J365),0)</f>
        <v>1806</v>
      </c>
      <c r="K365" s="14">
        <f>IFERROR(VALUE(Raw_Data!K365),0)</f>
        <v>0.02</v>
      </c>
      <c r="L365" t="str">
        <f>PROPER(TRIM(Raw_Data!L365))</f>
        <v>Delivered</v>
      </c>
      <c r="M365" s="13">
        <f t="shared" si="40"/>
        <v>9030</v>
      </c>
      <c r="N365" s="13">
        <f t="shared" si="41"/>
        <v>180.6</v>
      </c>
      <c r="O365" s="13">
        <f t="shared" si="42"/>
        <v>8849.4</v>
      </c>
      <c r="P365" s="13">
        <f t="shared" si="43"/>
        <v>5418</v>
      </c>
      <c r="Q365" s="13">
        <f t="shared" si="44"/>
        <v>3431.4</v>
      </c>
      <c r="R365" s="10">
        <f t="shared" si="45"/>
        <v>0.387755102040816</v>
      </c>
      <c r="S365" t="str">
        <f t="shared" si="46"/>
        <v>Aug-2026</v>
      </c>
      <c r="T365" t="str">
        <f t="shared" si="47"/>
        <v>OK</v>
      </c>
    </row>
    <row r="366" spans="1:20">
      <c r="A366" t="str">
        <f>TRIM(Raw_Data!A366)</f>
        <v>ORD-10365</v>
      </c>
      <c r="B366" s="12">
        <f>IFERROR(IF(ISNUMBER(Raw_Data!B366),Raw_Data!B366,DATEVALUE(Raw_Data!B366)),"")</f>
        <v>46110</v>
      </c>
      <c r="C366" t="str">
        <f>PROPER(TRIM(Raw_Data!C366))</f>
        <v>Ravi</v>
      </c>
      <c r="D366" t="str">
        <f>IF(TRIM(Raw_Data!D366)="Bangalore","Bengaluru",IF(TRIM(Raw_Data!D366)="Mysore","Mysuru",IF(TRIM(Raw_Data!D366)="Cochin","Kochi",PROPER(TRIM(Raw_Data!D366)))))</f>
        <v>Delhi</v>
      </c>
      <c r="E366" t="str">
        <f>PROPER(TRIM(Raw_Data!E366))</f>
        <v>Retail Store</v>
      </c>
      <c r="F366" t="str">
        <f>PROPER(TRIM(Raw_Data!F366))</f>
        <v>Smb</v>
      </c>
      <c r="G366" t="str">
        <f>PROPER(TRIM(Raw_Data!G366))</f>
        <v>Mouse</v>
      </c>
      <c r="H366" t="str">
        <f>PROPER(TRIM(Raw_Data!H366))</f>
        <v>Mouse Wireless</v>
      </c>
      <c r="I366">
        <f>IFERROR(MAX(0,VALUE(Raw_Data!I366)),0)</f>
        <v>7</v>
      </c>
      <c r="J366" s="13">
        <f>IFERROR(VALUE(Raw_Data!J366),0)</f>
        <v>863</v>
      </c>
      <c r="K366" s="14">
        <f>IFERROR(VALUE(Raw_Data!K366),0)</f>
        <v>0.02</v>
      </c>
      <c r="L366" t="str">
        <f>PROPER(TRIM(Raw_Data!L366))</f>
        <v>Delivered</v>
      </c>
      <c r="M366" s="13">
        <f t="shared" si="40"/>
        <v>6041</v>
      </c>
      <c r="N366" s="13">
        <f t="shared" si="41"/>
        <v>120.82</v>
      </c>
      <c r="O366" s="13">
        <f t="shared" si="42"/>
        <v>5920.18</v>
      </c>
      <c r="P366" s="13">
        <f t="shared" si="43"/>
        <v>3322.55</v>
      </c>
      <c r="Q366" s="13">
        <f t="shared" si="44"/>
        <v>2597.63</v>
      </c>
      <c r="R366" s="10">
        <f t="shared" si="45"/>
        <v>0.438775510204082</v>
      </c>
      <c r="S366" t="str">
        <f t="shared" si="46"/>
        <v>Mar-2026</v>
      </c>
      <c r="T366" t="str">
        <f t="shared" si="47"/>
        <v>OK</v>
      </c>
    </row>
    <row r="367" spans="1:20">
      <c r="A367" t="str">
        <f>TRIM(Raw_Data!A367)</f>
        <v>ORD-10366</v>
      </c>
      <c r="B367" s="12">
        <f>IFERROR(IF(ISNUMBER(Raw_Data!B367),Raw_Data!B367,DATEVALUE(Raw_Data!B367)),"")</f>
        <v>46064</v>
      </c>
      <c r="C367" t="str">
        <f>PROPER(TRIM(Raw_Data!C367))</f>
        <v>Neha</v>
      </c>
      <c r="D367" t="str">
        <f>IF(TRIM(Raw_Data!D367)="Bangalore","Bengaluru",IF(TRIM(Raw_Data!D367)="Mysore","Mysuru",IF(TRIM(Raw_Data!D367)="Cochin","Kochi",PROPER(TRIM(Raw_Data!D367)))))</f>
        <v>Delhi</v>
      </c>
      <c r="E367" t="str">
        <f>PROPER(TRIM(Raw_Data!E367))</f>
        <v>Online</v>
      </c>
      <c r="F367" t="str">
        <f>PROPER(TRIM(Raw_Data!F367))</f>
        <v>Enterprise</v>
      </c>
      <c r="G367" t="str">
        <f>PROPER(TRIM(Raw_Data!G367))</f>
        <v>Laptop</v>
      </c>
      <c r="H367" t="str">
        <f>PROPER(TRIM(Raw_Data!H367))</f>
        <v>Laptop Air 13</v>
      </c>
      <c r="I367">
        <f>IFERROR(MAX(0,VALUE(Raw_Data!I367)),0)</f>
        <v>8</v>
      </c>
      <c r="J367" s="13">
        <f>IFERROR(VALUE(Raw_Data!J367),0)</f>
        <v>68158</v>
      </c>
      <c r="K367" s="14">
        <f>IFERROR(VALUE(Raw_Data!K367),0)</f>
        <v>0.05</v>
      </c>
      <c r="L367" t="str">
        <f>PROPER(TRIM(Raw_Data!L367))</f>
        <v>Pending</v>
      </c>
      <c r="M367" s="13">
        <f t="shared" si="40"/>
        <v>545264</v>
      </c>
      <c r="N367" s="13">
        <f t="shared" si="41"/>
        <v>27263.2</v>
      </c>
      <c r="O367" s="13">
        <f t="shared" si="42"/>
        <v>518000.8</v>
      </c>
      <c r="P367" s="13">
        <f t="shared" si="43"/>
        <v>425305.92</v>
      </c>
      <c r="Q367" s="13">
        <f t="shared" si="44"/>
        <v>92694.8799999999</v>
      </c>
      <c r="R367" s="10">
        <f t="shared" si="45"/>
        <v>0.178947368421053</v>
      </c>
      <c r="S367" t="str">
        <f t="shared" si="46"/>
        <v>Feb-2026</v>
      </c>
      <c r="T367" t="str">
        <f t="shared" si="47"/>
        <v>OK</v>
      </c>
    </row>
    <row r="368" spans="1:20">
      <c r="A368" t="str">
        <f>TRIM(Raw_Data!A368)</f>
        <v>ORD-10367</v>
      </c>
      <c r="B368" s="12">
        <f>IFERROR(IF(ISNUMBER(Raw_Data!B368),Raw_Data!B368,DATEVALUE(Raw_Data!B368)),"")</f>
        <v>46118</v>
      </c>
      <c r="C368" t="str">
        <f>PROPER(TRIM(Raw_Data!C368))</f>
        <v>Asha</v>
      </c>
      <c r="D368" t="str">
        <f>IF(TRIM(Raw_Data!D368)="Bangalore","Bengaluru",IF(TRIM(Raw_Data!D368)="Mysore","Mysuru",IF(TRIM(Raw_Data!D368)="Cochin","Kochi",PROPER(TRIM(Raw_Data!D368)))))</f>
        <v>Kochi</v>
      </c>
      <c r="E368" t="str">
        <f>PROPER(TRIM(Raw_Data!E368))</f>
        <v>Retail Store</v>
      </c>
      <c r="F368" t="str">
        <f>PROPER(TRIM(Raw_Data!F368))</f>
        <v>Enterprise</v>
      </c>
      <c r="G368" t="str">
        <f>PROPER(TRIM(Raw_Data!G368))</f>
        <v>Laptop</v>
      </c>
      <c r="H368" t="str">
        <f>PROPER(TRIM(Raw_Data!H368))</f>
        <v>Business Laptop 15</v>
      </c>
      <c r="I368">
        <f>IFERROR(MAX(0,VALUE(Raw_Data!I368)),0)</f>
        <v>1</v>
      </c>
      <c r="J368" s="13">
        <f>IFERROR(VALUE(Raw_Data!J368),0)</f>
        <v>78157</v>
      </c>
      <c r="K368" s="14">
        <f>IFERROR(VALUE(Raw_Data!K368),0)</f>
        <v>0.15</v>
      </c>
      <c r="L368" t="str">
        <f>PROPER(TRIM(Raw_Data!L368))</f>
        <v>Delivered</v>
      </c>
      <c r="M368" s="13">
        <f t="shared" si="40"/>
        <v>78157</v>
      </c>
      <c r="N368" s="13">
        <f t="shared" si="41"/>
        <v>11723.55</v>
      </c>
      <c r="O368" s="13">
        <f t="shared" si="42"/>
        <v>66433.45</v>
      </c>
      <c r="P368" s="13">
        <f t="shared" si="43"/>
        <v>60962.46</v>
      </c>
      <c r="Q368" s="13">
        <f t="shared" si="44"/>
        <v>5470.99</v>
      </c>
      <c r="R368" s="10">
        <f t="shared" si="45"/>
        <v>0.0823529411764706</v>
      </c>
      <c r="S368" t="str">
        <f t="shared" si="46"/>
        <v>Apr-2026</v>
      </c>
      <c r="T368" t="str">
        <f t="shared" si="47"/>
        <v>OK</v>
      </c>
    </row>
    <row r="369" spans="1:20">
      <c r="A369" t="str">
        <f>TRIM(Raw_Data!A369)</f>
        <v>ORD-10368</v>
      </c>
      <c r="B369" s="12">
        <f>IFERROR(IF(ISNUMBER(Raw_Data!B369),Raw_Data!B369,DATEVALUE(Raw_Data!B369)),"")</f>
        <v>46044</v>
      </c>
      <c r="C369" t="str">
        <f>PROPER(TRIM(Raw_Data!C369))</f>
        <v>Neha</v>
      </c>
      <c r="D369" t="str">
        <f>IF(TRIM(Raw_Data!D369)="Bangalore","Bengaluru",IF(TRIM(Raw_Data!D369)="Mysore","Mysuru",IF(TRIM(Raw_Data!D369)="Cochin","Kochi",PROPER(TRIM(Raw_Data!D369)))))</f>
        <v>Chennai</v>
      </c>
      <c r="E369" t="str">
        <f>PROPER(TRIM(Raw_Data!E369))</f>
        <v>Online</v>
      </c>
      <c r="F369" t="str">
        <f>PROPER(TRIM(Raw_Data!F369))</f>
        <v>Smb</v>
      </c>
      <c r="G369" t="str">
        <f>PROPER(TRIM(Raw_Data!G369))</f>
        <v>Monitor</v>
      </c>
      <c r="H369" t="str">
        <f>PROPER(TRIM(Raw_Data!H369))</f>
        <v>Monitor 32</v>
      </c>
      <c r="I369">
        <f>IFERROR(MAX(0,VALUE(Raw_Data!I369)),0)</f>
        <v>2</v>
      </c>
      <c r="J369" s="13">
        <f>IFERROR(VALUE(Raw_Data!J369),0)</f>
        <v>23192</v>
      </c>
      <c r="K369" s="14">
        <f>IFERROR(VALUE(Raw_Data!K369),0)</f>
        <v>0.05</v>
      </c>
      <c r="L369" t="str">
        <f>PROPER(TRIM(Raw_Data!L369))</f>
        <v>Delivered</v>
      </c>
      <c r="M369" s="13">
        <f t="shared" si="40"/>
        <v>46384</v>
      </c>
      <c r="N369" s="13">
        <f t="shared" si="41"/>
        <v>2319.2</v>
      </c>
      <c r="O369" s="13">
        <f t="shared" si="42"/>
        <v>44064.8</v>
      </c>
      <c r="P369" s="13">
        <f t="shared" si="43"/>
        <v>32468.8</v>
      </c>
      <c r="Q369" s="13">
        <f t="shared" si="44"/>
        <v>11596</v>
      </c>
      <c r="R369" s="10">
        <f t="shared" si="45"/>
        <v>0.263157894736842</v>
      </c>
      <c r="S369" t="str">
        <f t="shared" si="46"/>
        <v>Jan-2026</v>
      </c>
      <c r="T369" t="str">
        <f t="shared" si="47"/>
        <v>OK</v>
      </c>
    </row>
    <row r="370" spans="1:20">
      <c r="A370" t="str">
        <f>TRIM(Raw_Data!A370)</f>
        <v>ORD-10369</v>
      </c>
      <c r="B370" s="12">
        <f>IFERROR(IF(ISNUMBER(Raw_Data!B370),Raw_Data!B370,DATEVALUE(Raw_Data!B370)),"")</f>
        <v>46225</v>
      </c>
      <c r="C370" t="str">
        <f>PROPER(TRIM(Raw_Data!C370))</f>
        <v>Priya</v>
      </c>
      <c r="D370" t="str">
        <f>IF(TRIM(Raw_Data!D370)="Bangalore","Bengaluru",IF(TRIM(Raw_Data!D370)="Mysore","Mysuru",IF(TRIM(Raw_Data!D370)="Cochin","Kochi",PROPER(TRIM(Raw_Data!D370)))))</f>
        <v>Pune</v>
      </c>
      <c r="E370" t="str">
        <f>PROPER(TRIM(Raw_Data!E370))</f>
        <v>Retail Store</v>
      </c>
      <c r="F370" t="str">
        <f>PROPER(TRIM(Raw_Data!F370))</f>
        <v>Enterprise</v>
      </c>
      <c r="G370" t="str">
        <f>PROPER(TRIM(Raw_Data!G370))</f>
        <v>Mouse</v>
      </c>
      <c r="H370" t="str">
        <f>PROPER(TRIM(Raw_Data!H370))</f>
        <v>Mouse Ergonomic</v>
      </c>
      <c r="I370">
        <f>IFERROR(MAX(0,VALUE(Raw_Data!I370)),0)</f>
        <v>5</v>
      </c>
      <c r="J370" s="13">
        <f>IFERROR(VALUE(Raw_Data!J370),0)</f>
        <v>3500</v>
      </c>
      <c r="K370" s="14">
        <f>IFERROR(VALUE(Raw_Data!K370),0)</f>
        <v>0.05</v>
      </c>
      <c r="L370" t="str">
        <f>PROPER(TRIM(Raw_Data!L370))</f>
        <v>Returned</v>
      </c>
      <c r="M370" s="13">
        <f t="shared" si="40"/>
        <v>17500</v>
      </c>
      <c r="N370" s="13">
        <f t="shared" si="41"/>
        <v>875</v>
      </c>
      <c r="O370" s="13">
        <f t="shared" si="42"/>
        <v>16625</v>
      </c>
      <c r="P370" s="13">
        <f t="shared" si="43"/>
        <v>9625</v>
      </c>
      <c r="Q370" s="13">
        <f t="shared" si="44"/>
        <v>7000</v>
      </c>
      <c r="R370" s="10">
        <f t="shared" si="45"/>
        <v>0.421052631578947</v>
      </c>
      <c r="S370" t="str">
        <f t="shared" si="46"/>
        <v>Jul-2026</v>
      </c>
      <c r="T370" t="str">
        <f t="shared" si="47"/>
        <v>OK</v>
      </c>
    </row>
    <row r="371" spans="1:20">
      <c r="A371" t="str">
        <f>TRIM(Raw_Data!A371)</f>
        <v>ORD-10370</v>
      </c>
      <c r="B371" s="12">
        <f>IFERROR(IF(ISNUMBER(Raw_Data!B371),Raw_Data!B371,DATEVALUE(Raw_Data!B371)),"")</f>
        <v>46065</v>
      </c>
      <c r="C371" t="str">
        <f>PROPER(TRIM(Raw_Data!C371))</f>
        <v>Meghana</v>
      </c>
      <c r="D371" t="str">
        <f>IF(TRIM(Raw_Data!D371)="Bangalore","Bengaluru",IF(TRIM(Raw_Data!D371)="Mysore","Mysuru",IF(TRIM(Raw_Data!D371)="Cochin","Kochi",PROPER(TRIM(Raw_Data!D371)))))</f>
        <v>Kochi</v>
      </c>
      <c r="E371" t="str">
        <f>PROPER(TRIM(Raw_Data!E371))</f>
        <v>Corporate</v>
      </c>
      <c r="F371" t="str">
        <f>PROPER(TRIM(Raw_Data!F371))</f>
        <v>Consumer</v>
      </c>
      <c r="G371" t="str">
        <f>PROPER(TRIM(Raw_Data!G371))</f>
        <v>Monitor</v>
      </c>
      <c r="H371" t="str">
        <f>PROPER(TRIM(Raw_Data!H371))</f>
        <v>Monitor 27</v>
      </c>
      <c r="I371">
        <f>IFERROR(MAX(0,VALUE(Raw_Data!I371)),0)</f>
        <v>7</v>
      </c>
      <c r="J371" s="13">
        <f>IFERROR(VALUE(Raw_Data!J371),0)</f>
        <v>24581</v>
      </c>
      <c r="K371" s="14">
        <f>IFERROR(VALUE(Raw_Data!K371),0)</f>
        <v>0</v>
      </c>
      <c r="L371" t="str">
        <f>PROPER(TRIM(Raw_Data!L371))</f>
        <v>Cancelled</v>
      </c>
      <c r="M371" s="13">
        <f t="shared" si="40"/>
        <v>172067</v>
      </c>
      <c r="N371" s="13">
        <f t="shared" si="41"/>
        <v>0</v>
      </c>
      <c r="O371" s="13">
        <f t="shared" si="42"/>
        <v>172067</v>
      </c>
      <c r="P371" s="13">
        <f t="shared" si="43"/>
        <v>120446.9</v>
      </c>
      <c r="Q371" s="13">
        <f t="shared" si="44"/>
        <v>51620.1</v>
      </c>
      <c r="R371" s="10">
        <f t="shared" si="45"/>
        <v>0.3</v>
      </c>
      <c r="S371" t="str">
        <f t="shared" si="46"/>
        <v>Feb-2026</v>
      </c>
      <c r="T371" t="str">
        <f t="shared" si="47"/>
        <v>OK</v>
      </c>
    </row>
    <row r="372" spans="1:20">
      <c r="A372" t="str">
        <f>TRIM(Raw_Data!A372)</f>
        <v>ORD-10371</v>
      </c>
      <c r="B372" s="12">
        <f>IFERROR(IF(ISNUMBER(Raw_Data!B372),Raw_Data!B372,DATEVALUE(Raw_Data!B372)),"")</f>
        <v>46090</v>
      </c>
      <c r="C372" t="str">
        <f>PROPER(TRIM(Raw_Data!C372))</f>
        <v>Meghana</v>
      </c>
      <c r="D372" t="str">
        <f>IF(TRIM(Raw_Data!D372)="Bangalore","Bengaluru",IF(TRIM(Raw_Data!D372)="Mysore","Mysuru",IF(TRIM(Raw_Data!D372)="Cochin","Kochi",PROPER(TRIM(Raw_Data!D372)))))</f>
        <v>Bengaluru</v>
      </c>
      <c r="E372" t="str">
        <f>PROPER(TRIM(Raw_Data!E372))</f>
        <v>Online</v>
      </c>
      <c r="F372" t="str">
        <f>PROPER(TRIM(Raw_Data!F372))</f>
        <v>Smb</v>
      </c>
      <c r="G372" t="str">
        <f>PROPER(TRIM(Raw_Data!G372))</f>
        <v>Headset</v>
      </c>
      <c r="H372" t="str">
        <f>PROPER(TRIM(Raw_Data!H372))</f>
        <v>Headset Office</v>
      </c>
      <c r="I372">
        <f>IFERROR(MAX(0,VALUE(Raw_Data!I372)),0)</f>
        <v>0</v>
      </c>
      <c r="J372" s="13">
        <f>IFERROR(VALUE(Raw_Data!J372),0)</f>
        <v>6238</v>
      </c>
      <c r="K372" s="14">
        <f>IFERROR(VALUE(Raw_Data!K372),0)</f>
        <v>0</v>
      </c>
      <c r="L372" t="str">
        <f>PROPER(TRIM(Raw_Data!L372))</f>
        <v>Delivered</v>
      </c>
      <c r="M372" s="13">
        <f t="shared" si="40"/>
        <v>0</v>
      </c>
      <c r="N372" s="13">
        <f t="shared" si="41"/>
        <v>0</v>
      </c>
      <c r="O372" s="13">
        <f t="shared" si="42"/>
        <v>0</v>
      </c>
      <c r="P372" s="13">
        <f t="shared" si="43"/>
        <v>0</v>
      </c>
      <c r="Q372" s="13">
        <f t="shared" si="44"/>
        <v>0</v>
      </c>
      <c r="R372" s="10">
        <f t="shared" si="45"/>
        <v>0</v>
      </c>
      <c r="S372" t="str">
        <f t="shared" si="46"/>
        <v>Mar-2026</v>
      </c>
      <c r="T372" t="str">
        <f t="shared" si="47"/>
        <v>CHECK</v>
      </c>
    </row>
    <row r="373" spans="1:20">
      <c r="A373" t="str">
        <f>TRIM(Raw_Data!A373)</f>
        <v>ORD-10372</v>
      </c>
      <c r="B373" s="12">
        <f>IFERROR(IF(ISNUMBER(Raw_Data!B373),Raw_Data!B373,DATEVALUE(Raw_Data!B373)),"")</f>
        <v>46151</v>
      </c>
      <c r="C373" t="str">
        <f>PROPER(TRIM(Raw_Data!C373))</f>
        <v>Priya</v>
      </c>
      <c r="D373" t="str">
        <f>IF(TRIM(Raw_Data!D373)="Bangalore","Bengaluru",IF(TRIM(Raw_Data!D373)="Mysore","Mysuru",IF(TRIM(Raw_Data!D373)="Cochin","Kochi",PROPER(TRIM(Raw_Data!D373)))))</f>
        <v>Mysuru</v>
      </c>
      <c r="E373" t="str">
        <f>PROPER(TRIM(Raw_Data!E373))</f>
        <v>Corporate</v>
      </c>
      <c r="F373" t="str">
        <f>PROPER(TRIM(Raw_Data!F373))</f>
        <v>Consumer</v>
      </c>
      <c r="G373" t="str">
        <f>PROPER(TRIM(Raw_Data!G373))</f>
        <v>Laptop</v>
      </c>
      <c r="H373" t="str">
        <f>PROPER(TRIM(Raw_Data!H373))</f>
        <v>Business Laptop 15</v>
      </c>
      <c r="I373">
        <f>IFERROR(MAX(0,VALUE(Raw_Data!I373)),0)</f>
        <v>7</v>
      </c>
      <c r="J373" s="13">
        <f>IFERROR(VALUE(Raw_Data!J373),0)</f>
        <v>74884</v>
      </c>
      <c r="K373" s="14">
        <f>IFERROR(VALUE(Raw_Data!K373),0)</f>
        <v>0.1</v>
      </c>
      <c r="L373" t="str">
        <f>PROPER(TRIM(Raw_Data!L373))</f>
        <v>Delivered</v>
      </c>
      <c r="M373" s="13">
        <f t="shared" si="40"/>
        <v>524188</v>
      </c>
      <c r="N373" s="13">
        <f t="shared" si="41"/>
        <v>52418.8</v>
      </c>
      <c r="O373" s="13">
        <f t="shared" si="42"/>
        <v>471769.2</v>
      </c>
      <c r="P373" s="13">
        <f t="shared" si="43"/>
        <v>408866.64</v>
      </c>
      <c r="Q373" s="13">
        <f t="shared" si="44"/>
        <v>62902.56</v>
      </c>
      <c r="R373" s="10">
        <f t="shared" si="45"/>
        <v>0.133333333333333</v>
      </c>
      <c r="S373" t="str">
        <f t="shared" si="46"/>
        <v>May-2026</v>
      </c>
      <c r="T373" t="str">
        <f t="shared" si="47"/>
        <v>OK</v>
      </c>
    </row>
    <row r="374" spans="1:20">
      <c r="A374" t="str">
        <f>TRIM(Raw_Data!A374)</f>
        <v>ORD-10373</v>
      </c>
      <c r="B374" s="12">
        <f>IFERROR(IF(ISNUMBER(Raw_Data!B374),Raw_Data!B374,DATEVALUE(Raw_Data!B374)),"")</f>
        <v>46045</v>
      </c>
      <c r="C374" t="str">
        <f>PROPER(TRIM(Raw_Data!C374))</f>
        <v>Asha</v>
      </c>
      <c r="D374" t="str">
        <f>IF(TRIM(Raw_Data!D374)="Bangalore","Bengaluru",IF(TRIM(Raw_Data!D374)="Mysore","Mysuru",IF(TRIM(Raw_Data!D374)="Cochin","Kochi",PROPER(TRIM(Raw_Data!D374)))))</f>
        <v>Bengaluru</v>
      </c>
      <c r="E374" t="str">
        <f>PROPER(TRIM(Raw_Data!E374))</f>
        <v>Online</v>
      </c>
      <c r="F374" t="str">
        <f>PROPER(TRIM(Raw_Data!F374))</f>
        <v>Enterprise</v>
      </c>
      <c r="G374" t="str">
        <f>PROPER(TRIM(Raw_Data!G374))</f>
        <v>Laptop</v>
      </c>
      <c r="H374" t="str">
        <f>PROPER(TRIM(Raw_Data!H374))</f>
        <v>Laptop Pro 14</v>
      </c>
      <c r="I374">
        <f>IFERROR(MAX(0,VALUE(Raw_Data!I374)),0)</f>
        <v>2</v>
      </c>
      <c r="J374" s="13">
        <f>IFERROR(VALUE(Raw_Data!J374),0)</f>
        <v>71953</v>
      </c>
      <c r="K374" s="14">
        <f>IFERROR(VALUE(Raw_Data!K374),0)</f>
        <v>0.15</v>
      </c>
      <c r="L374" t="str">
        <f>PROPER(TRIM(Raw_Data!L374))</f>
        <v>Pending</v>
      </c>
      <c r="M374" s="13">
        <f t="shared" si="40"/>
        <v>143906</v>
      </c>
      <c r="N374" s="13">
        <f t="shared" si="41"/>
        <v>21585.9</v>
      </c>
      <c r="O374" s="13">
        <f t="shared" si="42"/>
        <v>122320.1</v>
      </c>
      <c r="P374" s="13">
        <f t="shared" si="43"/>
        <v>112246.68</v>
      </c>
      <c r="Q374" s="13">
        <f t="shared" si="44"/>
        <v>10073.42</v>
      </c>
      <c r="R374" s="10">
        <f t="shared" si="45"/>
        <v>0.0823529411764706</v>
      </c>
      <c r="S374" t="str">
        <f t="shared" si="46"/>
        <v>Jan-2026</v>
      </c>
      <c r="T374" t="str">
        <f t="shared" si="47"/>
        <v>OK</v>
      </c>
    </row>
    <row r="375" spans="1:20">
      <c r="A375" t="str">
        <f>TRIM(Raw_Data!A375)</f>
        <v>ORD-10374</v>
      </c>
      <c r="B375" s="12">
        <f>IFERROR(IF(ISNUMBER(Raw_Data!B375),Raw_Data!B375,DATEVALUE(Raw_Data!B375)),"")</f>
        <v>46203</v>
      </c>
      <c r="C375" t="str">
        <f>PROPER(TRIM(Raw_Data!C375))</f>
        <v>Asha</v>
      </c>
      <c r="D375" t="str">
        <f>IF(TRIM(Raw_Data!D375)="Bangalore","Bengaluru",IF(TRIM(Raw_Data!D375)="Mysore","Mysuru",IF(TRIM(Raw_Data!D375)="Cochin","Kochi",PROPER(TRIM(Raw_Data!D375)))))</f>
        <v>Delhi</v>
      </c>
      <c r="E375" t="str">
        <f>PROPER(TRIM(Raw_Data!E375))</f>
        <v>Online</v>
      </c>
      <c r="F375" t="str">
        <f>PROPER(TRIM(Raw_Data!F375))</f>
        <v>Enterprise</v>
      </c>
      <c r="G375" t="str">
        <f>PROPER(TRIM(Raw_Data!G375))</f>
        <v>Mouse</v>
      </c>
      <c r="H375" t="str">
        <f>PROPER(TRIM(Raw_Data!H375))</f>
        <v>Mouse Wireless</v>
      </c>
      <c r="I375">
        <f>IFERROR(MAX(0,VALUE(Raw_Data!I375)),0)</f>
        <v>5</v>
      </c>
      <c r="J375" s="13">
        <f>IFERROR(VALUE(Raw_Data!J375),0)</f>
        <v>1796</v>
      </c>
      <c r="K375" s="14">
        <f>IFERROR(VALUE(Raw_Data!K375),0)</f>
        <v>0.05</v>
      </c>
      <c r="L375" t="str">
        <f>PROPER(TRIM(Raw_Data!L375))</f>
        <v>Pending</v>
      </c>
      <c r="M375" s="13">
        <f t="shared" si="40"/>
        <v>8980</v>
      </c>
      <c r="N375" s="13">
        <f t="shared" si="41"/>
        <v>449</v>
      </c>
      <c r="O375" s="13">
        <f t="shared" si="42"/>
        <v>8531</v>
      </c>
      <c r="P375" s="13">
        <f t="shared" si="43"/>
        <v>4939</v>
      </c>
      <c r="Q375" s="13">
        <f t="shared" si="44"/>
        <v>3592</v>
      </c>
      <c r="R375" s="10">
        <f t="shared" si="45"/>
        <v>0.421052631578947</v>
      </c>
      <c r="S375" t="str">
        <f t="shared" si="46"/>
        <v>Jun-2026</v>
      </c>
      <c r="T375" t="str">
        <f t="shared" si="47"/>
        <v>OK</v>
      </c>
    </row>
    <row r="376" spans="1:20">
      <c r="A376" t="str">
        <f>TRIM(Raw_Data!A376)</f>
        <v>ORD-10375</v>
      </c>
      <c r="B376" s="12">
        <f>IFERROR(IF(ISNUMBER(Raw_Data!B376),Raw_Data!B376,DATEVALUE(Raw_Data!B376)),"")</f>
        <v>46235</v>
      </c>
      <c r="C376" t="str">
        <f>PROPER(TRIM(Raw_Data!C376))</f>
        <v>Priya</v>
      </c>
      <c r="D376" t="str">
        <f>IF(TRIM(Raw_Data!D376)="Bangalore","Bengaluru",IF(TRIM(Raw_Data!D376)="Mysore","Mysuru",IF(TRIM(Raw_Data!D376)="Cochin","Kochi",PROPER(TRIM(Raw_Data!D376)))))</f>
        <v>Kochi</v>
      </c>
      <c r="E376" t="str">
        <f>PROPER(TRIM(Raw_Data!E376))</f>
        <v>Retail Store</v>
      </c>
      <c r="F376" t="str">
        <f>PROPER(TRIM(Raw_Data!F376))</f>
        <v>Consumer</v>
      </c>
      <c r="G376" t="str">
        <f>PROPER(TRIM(Raw_Data!G376))</f>
        <v>Laptop</v>
      </c>
      <c r="H376" t="str">
        <f>PROPER(TRIM(Raw_Data!H376))</f>
        <v>Business Laptop 15</v>
      </c>
      <c r="I376">
        <f>IFERROR(MAX(0,VALUE(Raw_Data!I376)),0)</f>
        <v>3</v>
      </c>
      <c r="J376" s="13">
        <f>IFERROR(VALUE(Raw_Data!J376),0)</f>
        <v>53445</v>
      </c>
      <c r="K376" s="14">
        <f>IFERROR(VALUE(Raw_Data!K376),0)</f>
        <v>0</v>
      </c>
      <c r="L376" t="str">
        <f>PROPER(TRIM(Raw_Data!L376))</f>
        <v>Delivered</v>
      </c>
      <c r="M376" s="13">
        <f t="shared" si="40"/>
        <v>160335</v>
      </c>
      <c r="N376" s="13">
        <f t="shared" si="41"/>
        <v>0</v>
      </c>
      <c r="O376" s="13">
        <f t="shared" si="42"/>
        <v>160335</v>
      </c>
      <c r="P376" s="13">
        <f t="shared" si="43"/>
        <v>125061.3</v>
      </c>
      <c r="Q376" s="13">
        <f t="shared" si="44"/>
        <v>35273.7</v>
      </c>
      <c r="R376" s="10">
        <f t="shared" si="45"/>
        <v>0.22</v>
      </c>
      <c r="S376" t="str">
        <f t="shared" si="46"/>
        <v>Aug-2026</v>
      </c>
      <c r="T376" t="str">
        <f t="shared" si="47"/>
        <v>OK</v>
      </c>
    </row>
    <row r="377" spans="1:20">
      <c r="A377" t="str">
        <f>TRIM(Raw_Data!A377)</f>
        <v>ORD-10376</v>
      </c>
      <c r="B377" s="12">
        <f>IFERROR(IF(ISNUMBER(Raw_Data!B377),Raw_Data!B377,DATEVALUE(Raw_Data!B377)),"")</f>
        <v>46204</v>
      </c>
      <c r="C377" t="str">
        <f>PROPER(TRIM(Raw_Data!C377))</f>
        <v>Meghana</v>
      </c>
      <c r="D377" t="str">
        <f>IF(TRIM(Raw_Data!D377)="Bangalore","Bengaluru",IF(TRIM(Raw_Data!D377)="Mysore","Mysuru",IF(TRIM(Raw_Data!D377)="Cochin","Kochi",PROPER(TRIM(Raw_Data!D377)))))</f>
        <v>Kochi</v>
      </c>
      <c r="E377" t="str">
        <f>PROPER(TRIM(Raw_Data!E377))</f>
        <v>Online</v>
      </c>
      <c r="F377" t="str">
        <f>PROPER(TRIM(Raw_Data!F377))</f>
        <v>Enterprise</v>
      </c>
      <c r="G377" t="str">
        <f>PROPER(TRIM(Raw_Data!G377))</f>
        <v>Headset</v>
      </c>
      <c r="H377" t="str">
        <f>PROPER(TRIM(Raw_Data!H377))</f>
        <v>Headset Pro</v>
      </c>
      <c r="I377">
        <f>IFERROR(MAX(0,VALUE(Raw_Data!I377)),0)</f>
        <v>6</v>
      </c>
      <c r="J377" s="13">
        <f>IFERROR(VALUE(Raw_Data!J377),0)</f>
        <v>6673</v>
      </c>
      <c r="K377" s="14">
        <f>IFERROR(VALUE(Raw_Data!K377),0)</f>
        <v>0.02</v>
      </c>
      <c r="L377" t="str">
        <f>PROPER(TRIM(Raw_Data!L377))</f>
        <v>Delivered</v>
      </c>
      <c r="M377" s="13">
        <f t="shared" si="40"/>
        <v>40038</v>
      </c>
      <c r="N377" s="13">
        <f t="shared" si="41"/>
        <v>800.76</v>
      </c>
      <c r="O377" s="13">
        <f t="shared" si="42"/>
        <v>39237.24</v>
      </c>
      <c r="P377" s="13">
        <f t="shared" si="43"/>
        <v>24022.8</v>
      </c>
      <c r="Q377" s="13">
        <f t="shared" si="44"/>
        <v>15214.44</v>
      </c>
      <c r="R377" s="10">
        <f t="shared" si="45"/>
        <v>0.387755102040816</v>
      </c>
      <c r="S377" t="str">
        <f t="shared" si="46"/>
        <v>Jul-2026</v>
      </c>
      <c r="T377" t="str">
        <f t="shared" si="47"/>
        <v>OK</v>
      </c>
    </row>
    <row r="378" spans="1:20">
      <c r="A378" t="str">
        <f>TRIM(Raw_Data!A378)</f>
        <v>ORD-10377</v>
      </c>
      <c r="B378" s="12">
        <f>IFERROR(IF(ISNUMBER(Raw_Data!B378),Raw_Data!B378,DATEVALUE(Raw_Data!B378)),"")</f>
        <v>46175</v>
      </c>
      <c r="C378" t="str">
        <f>PROPER(TRIM(Raw_Data!C378))</f>
        <v>Neha</v>
      </c>
      <c r="D378" t="str">
        <f>IF(TRIM(Raw_Data!D378)="Bangalore","Bengaluru",IF(TRIM(Raw_Data!D378)="Mysore","Mysuru",IF(TRIM(Raw_Data!D378)="Cochin","Kochi",PROPER(TRIM(Raw_Data!D378)))))</f>
        <v>Hydrabad</v>
      </c>
      <c r="E378" t="str">
        <f>PROPER(TRIM(Raw_Data!E378))</f>
        <v>Retail Store</v>
      </c>
      <c r="F378" t="str">
        <f>PROPER(TRIM(Raw_Data!F378))</f>
        <v>Smb</v>
      </c>
      <c r="G378" t="str">
        <f>PROPER(TRIM(Raw_Data!G378))</f>
        <v>Laptop</v>
      </c>
      <c r="H378" t="str">
        <f>PROPER(TRIM(Raw_Data!H378))</f>
        <v>Laptop Pro 14</v>
      </c>
      <c r="I378">
        <f>IFERROR(MAX(0,VALUE(Raw_Data!I378)),0)</f>
        <v>8</v>
      </c>
      <c r="J378" s="13">
        <f>IFERROR(VALUE(Raw_Data!J378),0)</f>
        <v>0</v>
      </c>
      <c r="K378" s="14">
        <f>IFERROR(VALUE(Raw_Data!K378),0)</f>
        <v>0.05</v>
      </c>
      <c r="L378" t="str">
        <f>PROPER(TRIM(Raw_Data!L378))</f>
        <v>Delivered</v>
      </c>
      <c r="M378" s="13">
        <f t="shared" si="40"/>
        <v>0</v>
      </c>
      <c r="N378" s="13">
        <f t="shared" si="41"/>
        <v>0</v>
      </c>
      <c r="O378" s="13">
        <f t="shared" si="42"/>
        <v>0</v>
      </c>
      <c r="P378" s="13">
        <f t="shared" si="43"/>
        <v>0</v>
      </c>
      <c r="Q378" s="13">
        <f t="shared" si="44"/>
        <v>0</v>
      </c>
      <c r="R378" s="10">
        <f t="shared" si="45"/>
        <v>0</v>
      </c>
      <c r="S378" t="str">
        <f t="shared" si="46"/>
        <v>Jun-2026</v>
      </c>
      <c r="T378" t="str">
        <f t="shared" si="47"/>
        <v>CHECK</v>
      </c>
    </row>
    <row r="379" spans="1:20">
      <c r="A379" t="str">
        <f>TRIM(Raw_Data!A379)</f>
        <v>ORD-10378</v>
      </c>
      <c r="B379" s="12">
        <f>IFERROR(IF(ISNUMBER(Raw_Data!B379),Raw_Data!B379,DATEVALUE(Raw_Data!B379)),"")</f>
        <v>46168</v>
      </c>
      <c r="C379" t="str">
        <f>PROPER(TRIM(Raw_Data!C379))</f>
        <v>Ravi</v>
      </c>
      <c r="D379" t="str">
        <f>IF(TRIM(Raw_Data!D379)="Bangalore","Bengaluru",IF(TRIM(Raw_Data!D379)="Mysore","Mysuru",IF(TRIM(Raw_Data!D379)="Cochin","Kochi",PROPER(TRIM(Raw_Data!D379)))))</f>
        <v>Chennai</v>
      </c>
      <c r="E379" t="str">
        <f>PROPER(TRIM(Raw_Data!E379))</f>
        <v>Online</v>
      </c>
      <c r="F379" t="str">
        <f>PROPER(TRIM(Raw_Data!F379))</f>
        <v>Smb</v>
      </c>
      <c r="G379" t="str">
        <f>PROPER(TRIM(Raw_Data!G379))</f>
        <v>Headset</v>
      </c>
      <c r="H379" t="str">
        <f>PROPER(TRIM(Raw_Data!H379))</f>
        <v>Headset Pro</v>
      </c>
      <c r="I379">
        <f>IFERROR(MAX(0,VALUE(Raw_Data!I379)),0)</f>
        <v>1</v>
      </c>
      <c r="J379" s="13">
        <f>IFERROR(VALUE(Raw_Data!J379),0)</f>
        <v>6415</v>
      </c>
      <c r="K379" s="14">
        <f>IFERROR(VALUE(Raw_Data!K379),0)</f>
        <v>0.02</v>
      </c>
      <c r="L379" t="str">
        <f>PROPER(TRIM(Raw_Data!L379))</f>
        <v>Cancelled</v>
      </c>
      <c r="M379" s="13">
        <f t="shared" si="40"/>
        <v>6415</v>
      </c>
      <c r="N379" s="13">
        <f t="shared" si="41"/>
        <v>128.3</v>
      </c>
      <c r="O379" s="13">
        <f t="shared" si="42"/>
        <v>6286.7</v>
      </c>
      <c r="P379" s="13">
        <f t="shared" si="43"/>
        <v>3849</v>
      </c>
      <c r="Q379" s="13">
        <f t="shared" si="44"/>
        <v>2437.7</v>
      </c>
      <c r="R379" s="10">
        <f t="shared" si="45"/>
        <v>0.387755102040816</v>
      </c>
      <c r="S379" t="str">
        <f t="shared" si="46"/>
        <v>May-2026</v>
      </c>
      <c r="T379" t="str">
        <f t="shared" si="47"/>
        <v>OK</v>
      </c>
    </row>
    <row r="380" spans="1:20">
      <c r="A380" t="str">
        <f>TRIM(Raw_Data!A380)</f>
        <v>ORD-10379</v>
      </c>
      <c r="B380" s="12">
        <f>IFERROR(IF(ISNUMBER(Raw_Data!B380),Raw_Data!B380,DATEVALUE(Raw_Data!B380)),"")</f>
        <v>46146</v>
      </c>
      <c r="C380" t="str">
        <f>PROPER(TRIM(Raw_Data!C380))</f>
        <v>Bhoomika</v>
      </c>
      <c r="D380" t="str">
        <f>IF(TRIM(Raw_Data!D380)="Bangalore","Bengaluru",IF(TRIM(Raw_Data!D380)="Mysore","Mysuru",IF(TRIM(Raw_Data!D380)="Cochin","Kochi",PROPER(TRIM(Raw_Data!D380)))))</f>
        <v>New Delhi</v>
      </c>
      <c r="E380" t="str">
        <f>PROPER(TRIM(Raw_Data!E380))</f>
        <v>Corporate</v>
      </c>
      <c r="F380" t="str">
        <f>PROPER(TRIM(Raw_Data!F380))</f>
        <v>Smb</v>
      </c>
      <c r="G380" t="str">
        <f>PROPER(TRIM(Raw_Data!G380))</f>
        <v>Monitor</v>
      </c>
      <c r="H380" t="str">
        <f>PROPER(TRIM(Raw_Data!H380))</f>
        <v>Monitor 24</v>
      </c>
      <c r="I380">
        <f>IFERROR(MAX(0,VALUE(Raw_Data!I380)),0)</f>
        <v>7</v>
      </c>
      <c r="J380" s="13">
        <f>IFERROR(VALUE(Raw_Data!J380),0)</f>
        <v>18644</v>
      </c>
      <c r="K380" s="14">
        <f>IFERROR(VALUE(Raw_Data!K380),0)</f>
        <v>0.02</v>
      </c>
      <c r="L380" t="str">
        <f>PROPER(TRIM(Raw_Data!L380))</f>
        <v>Delivered</v>
      </c>
      <c r="M380" s="13">
        <f t="shared" si="40"/>
        <v>130508</v>
      </c>
      <c r="N380" s="13">
        <f t="shared" si="41"/>
        <v>2610.16</v>
      </c>
      <c r="O380" s="13">
        <f t="shared" si="42"/>
        <v>127897.84</v>
      </c>
      <c r="P380" s="13">
        <f t="shared" si="43"/>
        <v>91355.6</v>
      </c>
      <c r="Q380" s="13">
        <f t="shared" si="44"/>
        <v>36542.24</v>
      </c>
      <c r="R380" s="10">
        <f t="shared" si="45"/>
        <v>0.285714285714286</v>
      </c>
      <c r="S380" t="str">
        <f t="shared" si="46"/>
        <v>May-2026</v>
      </c>
      <c r="T380" t="str">
        <f t="shared" si="47"/>
        <v>OK</v>
      </c>
    </row>
    <row r="381" spans="1:20">
      <c r="A381" t="str">
        <f>TRIM(Raw_Data!A381)</f>
        <v>ORD-10380</v>
      </c>
      <c r="B381" s="12">
        <f>IFERROR(IF(ISNUMBER(Raw_Data!B381),Raw_Data!B381,DATEVALUE(Raw_Data!B381)),"")</f>
        <v>46074</v>
      </c>
      <c r="C381" t="str">
        <f>PROPER(TRIM(Raw_Data!C381))</f>
        <v>Arjun</v>
      </c>
      <c r="D381" t="str">
        <f>IF(TRIM(Raw_Data!D381)="Bangalore","Bengaluru",IF(TRIM(Raw_Data!D381)="Mysore","Mysuru",IF(TRIM(Raw_Data!D381)="Cochin","Kochi",PROPER(TRIM(Raw_Data!D381)))))</f>
        <v>Delhi</v>
      </c>
      <c r="E381" t="str">
        <f>PROPER(TRIM(Raw_Data!E381))</f>
        <v>Retail Store</v>
      </c>
      <c r="F381" t="str">
        <f>PROPER(TRIM(Raw_Data!F381))</f>
        <v>Smb</v>
      </c>
      <c r="G381" t="str">
        <f>PROPER(TRIM(Raw_Data!G381))</f>
        <v>Headset</v>
      </c>
      <c r="H381" t="str">
        <f>PROPER(TRIM(Raw_Data!H381))</f>
        <v>Headset Wireless</v>
      </c>
      <c r="I381">
        <f>IFERROR(MAX(0,VALUE(Raw_Data!I381)),0)</f>
        <v>5</v>
      </c>
      <c r="J381" s="13">
        <f>IFERROR(VALUE(Raw_Data!J381),0)</f>
        <v>0</v>
      </c>
      <c r="K381" s="14">
        <f>IFERROR(VALUE(Raw_Data!K381),0)</f>
        <v>0.1</v>
      </c>
      <c r="L381" t="str">
        <f>PROPER(TRIM(Raw_Data!L381))</f>
        <v>Pending</v>
      </c>
      <c r="M381" s="13">
        <f t="shared" si="40"/>
        <v>0</v>
      </c>
      <c r="N381" s="13">
        <f t="shared" si="41"/>
        <v>0</v>
      </c>
      <c r="O381" s="13">
        <f t="shared" si="42"/>
        <v>0</v>
      </c>
      <c r="P381" s="13">
        <f t="shared" si="43"/>
        <v>0</v>
      </c>
      <c r="Q381" s="13">
        <f t="shared" si="44"/>
        <v>0</v>
      </c>
      <c r="R381" s="10">
        <f t="shared" si="45"/>
        <v>0</v>
      </c>
      <c r="S381" t="str">
        <f t="shared" si="46"/>
        <v>Feb-2026</v>
      </c>
      <c r="T381" t="str">
        <f t="shared" si="47"/>
        <v>CHECK</v>
      </c>
    </row>
    <row r="382" spans="1:20">
      <c r="A382" t="str">
        <f>TRIM(Raw_Data!A382)</f>
        <v>ORD-10381</v>
      </c>
      <c r="B382" s="12">
        <f>IFERROR(IF(ISNUMBER(Raw_Data!B382),Raw_Data!B382,DATEVALUE(Raw_Data!B382)),"")</f>
        <v>46077</v>
      </c>
      <c r="C382" t="str">
        <f>PROPER(TRIM(Raw_Data!C382))</f>
        <v>Bhoomika</v>
      </c>
      <c r="D382" t="str">
        <f>IF(TRIM(Raw_Data!D382)="Bangalore","Bengaluru",IF(TRIM(Raw_Data!D382)="Mysore","Mysuru",IF(TRIM(Raw_Data!D382)="Cochin","Kochi",PROPER(TRIM(Raw_Data!D382)))))</f>
        <v>New Delhi</v>
      </c>
      <c r="E382" t="str">
        <f>PROPER(TRIM(Raw_Data!E382))</f>
        <v>Corporate</v>
      </c>
      <c r="F382" t="str">
        <f>PROPER(TRIM(Raw_Data!F382))</f>
        <v>Consumer</v>
      </c>
      <c r="G382" t="str">
        <f>PROPER(TRIM(Raw_Data!G382))</f>
        <v>Mouse</v>
      </c>
      <c r="H382" t="str">
        <f>PROPER(TRIM(Raw_Data!H382))</f>
        <v>Mouse Basic</v>
      </c>
      <c r="I382">
        <f>IFERROR(MAX(0,VALUE(Raw_Data!I382)),0)</f>
        <v>4</v>
      </c>
      <c r="J382" s="13">
        <f>IFERROR(VALUE(Raw_Data!J382),0)</f>
        <v>2279</v>
      </c>
      <c r="K382" s="14">
        <f>IFERROR(VALUE(Raw_Data!K382),0)</f>
        <v>0.1</v>
      </c>
      <c r="L382" t="str">
        <f>PROPER(TRIM(Raw_Data!L382))</f>
        <v>Delivered</v>
      </c>
      <c r="M382" s="13">
        <f t="shared" si="40"/>
        <v>9116</v>
      </c>
      <c r="N382" s="13">
        <f t="shared" si="41"/>
        <v>911.6</v>
      </c>
      <c r="O382" s="13">
        <f t="shared" si="42"/>
        <v>8204.4</v>
      </c>
      <c r="P382" s="13">
        <f t="shared" si="43"/>
        <v>5013.8</v>
      </c>
      <c r="Q382" s="13">
        <f t="shared" si="44"/>
        <v>3190.6</v>
      </c>
      <c r="R382" s="10">
        <f t="shared" si="45"/>
        <v>0.388888888888889</v>
      </c>
      <c r="S382" t="str">
        <f t="shared" si="46"/>
        <v>Feb-2026</v>
      </c>
      <c r="T382" t="str">
        <f t="shared" si="47"/>
        <v>OK</v>
      </c>
    </row>
    <row r="383" spans="1:20">
      <c r="A383" t="str">
        <f>TRIM(Raw_Data!A383)</f>
        <v>ORD-10382</v>
      </c>
      <c r="B383" s="12" t="str">
        <f>IFERROR(IF(ISNUMBER(Raw_Data!B383),Raw_Data!B383,DATEVALUE(Raw_Data!B383)),"")</f>
        <v/>
      </c>
      <c r="C383" t="str">
        <f>PROPER(TRIM(Raw_Data!C383))</f>
        <v>Asha</v>
      </c>
      <c r="D383" t="str">
        <f>IF(TRIM(Raw_Data!D383)="Bangalore","Bengaluru",IF(TRIM(Raw_Data!D383)="Mysore","Mysuru",IF(TRIM(Raw_Data!D383)="Cochin","Kochi",PROPER(TRIM(Raw_Data!D383)))))</f>
        <v>Delhi</v>
      </c>
      <c r="E383" t="str">
        <f>PROPER(TRIM(Raw_Data!E383))</f>
        <v>Retail Store</v>
      </c>
      <c r="F383" t="str">
        <f>PROPER(TRIM(Raw_Data!F383))</f>
        <v>Consumer</v>
      </c>
      <c r="G383" t="str">
        <f>PROPER(TRIM(Raw_Data!G383))</f>
        <v>Mouse</v>
      </c>
      <c r="H383" t="str">
        <f>PROPER(TRIM(Raw_Data!H383))</f>
        <v>Mouse Wireless</v>
      </c>
      <c r="I383">
        <f>IFERROR(MAX(0,VALUE(Raw_Data!I383)),0)</f>
        <v>5</v>
      </c>
      <c r="J383" s="13">
        <f>IFERROR(VALUE(Raw_Data!J383),0)</f>
        <v>3060</v>
      </c>
      <c r="K383" s="14">
        <f>IFERROR(VALUE(Raw_Data!K383),0)</f>
        <v>0</v>
      </c>
      <c r="L383" t="str">
        <f>PROPER(TRIM(Raw_Data!L383))</f>
        <v>Returned</v>
      </c>
      <c r="M383" s="13">
        <f t="shared" si="40"/>
        <v>15300</v>
      </c>
      <c r="N383" s="13">
        <f t="shared" si="41"/>
        <v>0</v>
      </c>
      <c r="O383" s="13">
        <f t="shared" si="42"/>
        <v>15300</v>
      </c>
      <c r="P383" s="13">
        <f t="shared" si="43"/>
        <v>8415</v>
      </c>
      <c r="Q383" s="13">
        <f t="shared" si="44"/>
        <v>6885</v>
      </c>
      <c r="R383" s="10">
        <f t="shared" si="45"/>
        <v>0.45</v>
      </c>
      <c r="S383" t="str">
        <f t="shared" si="46"/>
        <v/>
      </c>
      <c r="T383" t="str">
        <f t="shared" si="47"/>
        <v>CHECK</v>
      </c>
    </row>
    <row r="384" spans="1:20">
      <c r="A384" t="str">
        <f>TRIM(Raw_Data!A384)</f>
        <v>ORD-10383</v>
      </c>
      <c r="B384" s="12">
        <f>IFERROR(IF(ISNUMBER(Raw_Data!B384),Raw_Data!B384,DATEVALUE(Raw_Data!B384)),"")</f>
        <v>46111</v>
      </c>
      <c r="C384" t="str">
        <f>PROPER(TRIM(Raw_Data!C384))</f>
        <v>Ravi</v>
      </c>
      <c r="D384" t="str">
        <f>IF(TRIM(Raw_Data!D384)="Bangalore","Bengaluru",IF(TRIM(Raw_Data!D384)="Mysore","Mysuru",IF(TRIM(Raw_Data!D384)="Cochin","Kochi",PROPER(TRIM(Raw_Data!D384)))))</f>
        <v>Delhi</v>
      </c>
      <c r="E384" t="str">
        <f>PROPER(TRIM(Raw_Data!E384))</f>
        <v>Online</v>
      </c>
      <c r="F384" t="str">
        <f>PROPER(TRIM(Raw_Data!F384))</f>
        <v>Smb</v>
      </c>
      <c r="G384" t="str">
        <f>PROPER(TRIM(Raw_Data!G384))</f>
        <v>Mouse</v>
      </c>
      <c r="H384" t="str">
        <f>PROPER(TRIM(Raw_Data!H384))</f>
        <v>Mouse Wireless</v>
      </c>
      <c r="I384">
        <f>IFERROR(MAX(0,VALUE(Raw_Data!I384)),0)</f>
        <v>8</v>
      </c>
      <c r="J384" s="13">
        <f>IFERROR(VALUE(Raw_Data!J384),0)</f>
        <v>1922</v>
      </c>
      <c r="K384" s="14">
        <f>IFERROR(VALUE(Raw_Data!K384),0)</f>
        <v>0.08</v>
      </c>
      <c r="L384" t="str">
        <f>PROPER(TRIM(Raw_Data!L384))</f>
        <v>Returned</v>
      </c>
      <c r="M384" s="13">
        <f t="shared" si="40"/>
        <v>15376</v>
      </c>
      <c r="N384" s="13">
        <f t="shared" si="41"/>
        <v>1230.08</v>
      </c>
      <c r="O384" s="13">
        <f t="shared" si="42"/>
        <v>14145.92</v>
      </c>
      <c r="P384" s="13">
        <f t="shared" si="43"/>
        <v>8456.8</v>
      </c>
      <c r="Q384" s="13">
        <f t="shared" si="44"/>
        <v>5689.12</v>
      </c>
      <c r="R384" s="10">
        <f t="shared" si="45"/>
        <v>0.402173913043478</v>
      </c>
      <c r="S384" t="str">
        <f t="shared" si="46"/>
        <v>Mar-2026</v>
      </c>
      <c r="T384" t="str">
        <f t="shared" si="47"/>
        <v>OK</v>
      </c>
    </row>
    <row r="385" spans="1:20">
      <c r="A385" t="str">
        <f>TRIM(Raw_Data!A385)</f>
        <v>ORD-10384</v>
      </c>
      <c r="B385" s="12">
        <f>IFERROR(IF(ISNUMBER(Raw_Data!B385),Raw_Data!B385,DATEVALUE(Raw_Data!B385)),"")</f>
        <v>46117</v>
      </c>
      <c r="C385" t="str">
        <f>PROPER(TRIM(Raw_Data!C385))</f>
        <v>Kiran</v>
      </c>
      <c r="D385" t="str">
        <f>IF(TRIM(Raw_Data!D385)="Bangalore","Bengaluru",IF(TRIM(Raw_Data!D385)="Mysore","Mysuru",IF(TRIM(Raw_Data!D385)="Cochin","Kochi",PROPER(TRIM(Raw_Data!D385)))))</f>
        <v>Bengaluru</v>
      </c>
      <c r="E385" t="str">
        <f>PROPER(TRIM(Raw_Data!E385))</f>
        <v>Online</v>
      </c>
      <c r="F385" t="str">
        <f>PROPER(TRIM(Raw_Data!F385))</f>
        <v>Smb</v>
      </c>
      <c r="G385" t="str">
        <f>PROPER(TRIM(Raw_Data!G385))</f>
        <v>Headset</v>
      </c>
      <c r="H385" t="str">
        <f>PROPER(TRIM(Raw_Data!H385))</f>
        <v>Headset Pro</v>
      </c>
      <c r="I385">
        <f>IFERROR(MAX(0,VALUE(Raw_Data!I385)),0)</f>
        <v>2</v>
      </c>
      <c r="J385" s="13">
        <f>IFERROR(VALUE(Raw_Data!J385),0)</f>
        <v>3992</v>
      </c>
      <c r="K385" s="14">
        <f>IFERROR(VALUE(Raw_Data!K385),0)</f>
        <v>0.05</v>
      </c>
      <c r="L385" t="str">
        <f>PROPER(TRIM(Raw_Data!L385))</f>
        <v>Delivered</v>
      </c>
      <c r="M385" s="13">
        <f t="shared" si="40"/>
        <v>7984</v>
      </c>
      <c r="N385" s="13">
        <f t="shared" si="41"/>
        <v>399.2</v>
      </c>
      <c r="O385" s="13">
        <f t="shared" si="42"/>
        <v>7584.8</v>
      </c>
      <c r="P385" s="13">
        <f t="shared" si="43"/>
        <v>4790.4</v>
      </c>
      <c r="Q385" s="13">
        <f t="shared" si="44"/>
        <v>2794.4</v>
      </c>
      <c r="R385" s="10">
        <f t="shared" si="45"/>
        <v>0.368421052631579</v>
      </c>
      <c r="S385" t="str">
        <f t="shared" si="46"/>
        <v>Apr-2026</v>
      </c>
      <c r="T385" t="str">
        <f t="shared" si="47"/>
        <v>OK</v>
      </c>
    </row>
    <row r="386" spans="1:20">
      <c r="A386" t="str">
        <f>TRIM(Raw_Data!A386)</f>
        <v>ORD-10385</v>
      </c>
      <c r="B386" s="12">
        <f>IFERROR(IF(ISNUMBER(Raw_Data!B386),Raw_Data!B386,DATEVALUE(Raw_Data!B386)),"")</f>
        <v>46170</v>
      </c>
      <c r="C386" t="str">
        <f>PROPER(TRIM(Raw_Data!C386))</f>
        <v>Meghana</v>
      </c>
      <c r="D386" t="str">
        <f>IF(TRIM(Raw_Data!D386)="Bangalore","Bengaluru",IF(TRIM(Raw_Data!D386)="Mysore","Mysuru",IF(TRIM(Raw_Data!D386)="Cochin","Kochi",PROPER(TRIM(Raw_Data!D386)))))</f>
        <v>Mysuru</v>
      </c>
      <c r="E386" t="str">
        <f>PROPER(TRIM(Raw_Data!E386))</f>
        <v>Online</v>
      </c>
      <c r="F386" t="str">
        <f>PROPER(TRIM(Raw_Data!F386))</f>
        <v>Smb</v>
      </c>
      <c r="G386" t="str">
        <f>PROPER(TRIM(Raw_Data!G386))</f>
        <v>Mouse</v>
      </c>
      <c r="H386" t="str">
        <f>PROPER(TRIM(Raw_Data!H386))</f>
        <v>Mouse Basic</v>
      </c>
      <c r="I386">
        <f>IFERROR(MAX(0,VALUE(Raw_Data!I386)),0)</f>
        <v>5</v>
      </c>
      <c r="J386" s="13">
        <f>IFERROR(VALUE(Raw_Data!J386),0)</f>
        <v>1625</v>
      </c>
      <c r="K386" s="14">
        <f>IFERROR(VALUE(Raw_Data!K386),0)</f>
        <v>0.05</v>
      </c>
      <c r="L386" t="str">
        <f>PROPER(TRIM(Raw_Data!L386))</f>
        <v>Returned</v>
      </c>
      <c r="M386" s="13">
        <f t="shared" ref="M386:M449" si="48">I386*J386</f>
        <v>8125</v>
      </c>
      <c r="N386" s="13">
        <f t="shared" ref="N386:N449" si="49">M386*K386</f>
        <v>406.25</v>
      </c>
      <c r="O386" s="13">
        <f t="shared" ref="O386:O449" si="50">M386-N386</f>
        <v>7718.75</v>
      </c>
      <c r="P386" s="13">
        <f t="shared" ref="P386:P449" si="51">M386*IF(G386="Laptop",0.78,IF(G386="Monitor",0.7,IF(G386="Keyboard",0.58,IF(G386="Mouse",0.55,0.6))))</f>
        <v>4468.75</v>
      </c>
      <c r="Q386" s="13">
        <f t="shared" ref="Q386:Q449" si="52">O386-P386</f>
        <v>3250</v>
      </c>
      <c r="R386" s="10">
        <f t="shared" ref="R386:R449" si="53">IFERROR(Q386/O386,0)</f>
        <v>0.421052631578947</v>
      </c>
      <c r="S386" t="str">
        <f t="shared" ref="S386:S449" si="54">IF(B386="","",TEXT(B386,"mmm-yyyy"))</f>
        <v>May-2026</v>
      </c>
      <c r="T386" t="str">
        <f t="shared" ref="T386:T449" si="55">IF(OR(A386="",B386="",I386&lt;=0,J386&lt;=0,L386=""),"CHECK","OK")</f>
        <v>OK</v>
      </c>
    </row>
    <row r="387" spans="1:20">
      <c r="A387" t="str">
        <f>TRIM(Raw_Data!A387)</f>
        <v>ORD-10386</v>
      </c>
      <c r="B387" s="12">
        <f>IFERROR(IF(ISNUMBER(Raw_Data!B387),Raw_Data!B387,DATEVALUE(Raw_Data!B387)),"")</f>
        <v>46217</v>
      </c>
      <c r="C387" t="str">
        <f>PROPER(TRIM(Raw_Data!C387))</f>
        <v>Neha</v>
      </c>
      <c r="D387" t="str">
        <f>IF(TRIM(Raw_Data!D387)="Bangalore","Bengaluru",IF(TRIM(Raw_Data!D387)="Mysore","Mysuru",IF(TRIM(Raw_Data!D387)="Cochin","Kochi",PROPER(TRIM(Raw_Data!D387)))))</f>
        <v>Delhi</v>
      </c>
      <c r="E387" t="str">
        <f>PROPER(TRIM(Raw_Data!E387))</f>
        <v>Retail Store</v>
      </c>
      <c r="F387" t="str">
        <f>PROPER(TRIM(Raw_Data!F387))</f>
        <v>Enterprise</v>
      </c>
      <c r="G387" t="str">
        <f>PROPER(TRIM(Raw_Data!G387))</f>
        <v>Headset</v>
      </c>
      <c r="H387" t="str">
        <f>PROPER(TRIM(Raw_Data!H387))</f>
        <v>Headset Office</v>
      </c>
      <c r="I387">
        <f>IFERROR(MAX(0,VALUE(Raw_Data!I387)),0)</f>
        <v>3</v>
      </c>
      <c r="J387" s="13">
        <f>IFERROR(VALUE(Raw_Data!J387),0)</f>
        <v>2365</v>
      </c>
      <c r="K387" s="14">
        <f>IFERROR(VALUE(Raw_Data!K387),0)</f>
        <v>0</v>
      </c>
      <c r="L387" t="str">
        <f>PROPER(TRIM(Raw_Data!L387))</f>
        <v>Delivered</v>
      </c>
      <c r="M387" s="13">
        <f t="shared" si="48"/>
        <v>7095</v>
      </c>
      <c r="N387" s="13">
        <f t="shared" si="49"/>
        <v>0</v>
      </c>
      <c r="O387" s="13">
        <f t="shared" si="50"/>
        <v>7095</v>
      </c>
      <c r="P387" s="13">
        <f t="shared" si="51"/>
        <v>4257</v>
      </c>
      <c r="Q387" s="13">
        <f t="shared" si="52"/>
        <v>2838</v>
      </c>
      <c r="R387" s="10">
        <f t="shared" si="53"/>
        <v>0.4</v>
      </c>
      <c r="S387" t="str">
        <f t="shared" si="54"/>
        <v>Jul-2026</v>
      </c>
      <c r="T387" t="str">
        <f t="shared" si="55"/>
        <v>OK</v>
      </c>
    </row>
    <row r="388" spans="1:20">
      <c r="A388" t="str">
        <f>TRIM(Raw_Data!A388)</f>
        <v>ORD-10387</v>
      </c>
      <c r="B388" s="12">
        <f>IFERROR(IF(ISNUMBER(Raw_Data!B388),Raw_Data!B388,DATEVALUE(Raw_Data!B388)),"")</f>
        <v>46140</v>
      </c>
      <c r="C388" t="str">
        <f>PROPER(TRIM(Raw_Data!C388))</f>
        <v>Meghana</v>
      </c>
      <c r="D388" t="str">
        <f>IF(TRIM(Raw_Data!D388)="Bangalore","Bengaluru",IF(TRIM(Raw_Data!D388)="Mysore","Mysuru",IF(TRIM(Raw_Data!D388)="Cochin","Kochi",PROPER(TRIM(Raw_Data!D388)))))</f>
        <v>Bengaluru</v>
      </c>
      <c r="E388" t="str">
        <f>PROPER(TRIM(Raw_Data!E388))</f>
        <v>Corporate</v>
      </c>
      <c r="F388" t="str">
        <f>PROPER(TRIM(Raw_Data!F388))</f>
        <v>Enterprise</v>
      </c>
      <c r="G388" t="str">
        <f>PROPER(TRIM(Raw_Data!G388))</f>
        <v>Monitor</v>
      </c>
      <c r="H388" t="str">
        <f>PROPER(TRIM(Raw_Data!H388))</f>
        <v>Monitor 27</v>
      </c>
      <c r="I388">
        <f>IFERROR(MAX(0,VALUE(Raw_Data!I388)),0)</f>
        <v>2</v>
      </c>
      <c r="J388" s="13">
        <f>IFERROR(VALUE(Raw_Data!J388),0)</f>
        <v>26396</v>
      </c>
      <c r="K388" s="14">
        <f>IFERROR(VALUE(Raw_Data!K388),0)</f>
        <v>0.1</v>
      </c>
      <c r="L388" t="str">
        <f>PROPER(TRIM(Raw_Data!L388))</f>
        <v>Delivered</v>
      </c>
      <c r="M388" s="13">
        <f t="shared" si="48"/>
        <v>52792</v>
      </c>
      <c r="N388" s="13">
        <f t="shared" si="49"/>
        <v>5279.2</v>
      </c>
      <c r="O388" s="13">
        <f t="shared" si="50"/>
        <v>47512.8</v>
      </c>
      <c r="P388" s="13">
        <f t="shared" si="51"/>
        <v>36954.4</v>
      </c>
      <c r="Q388" s="13">
        <f t="shared" si="52"/>
        <v>10558.4</v>
      </c>
      <c r="R388" s="10">
        <f t="shared" si="53"/>
        <v>0.222222222222222</v>
      </c>
      <c r="S388" t="str">
        <f t="shared" si="54"/>
        <v>Apr-2026</v>
      </c>
      <c r="T388" t="str">
        <f t="shared" si="55"/>
        <v>OK</v>
      </c>
    </row>
    <row r="389" spans="1:20">
      <c r="A389" t="str">
        <f>TRIM(Raw_Data!A389)</f>
        <v>ORD-10388</v>
      </c>
      <c r="B389" s="12">
        <f>IFERROR(IF(ISNUMBER(Raw_Data!B389),Raw_Data!B389,DATEVALUE(Raw_Data!B389)),"")</f>
        <v>46178</v>
      </c>
      <c r="C389" t="str">
        <f>PROPER(TRIM(Raw_Data!C389))</f>
        <v>Meghana</v>
      </c>
      <c r="D389" t="str">
        <f>IF(TRIM(Raw_Data!D389)="Bangalore","Bengaluru",IF(TRIM(Raw_Data!D389)="Mysore","Mysuru",IF(TRIM(Raw_Data!D389)="Cochin","Kochi",PROPER(TRIM(Raw_Data!D389)))))</f>
        <v>Kochi</v>
      </c>
      <c r="E389" t="str">
        <f>PROPER(TRIM(Raw_Data!E389))</f>
        <v>Online</v>
      </c>
      <c r="F389" t="str">
        <f>PROPER(TRIM(Raw_Data!F389))</f>
        <v>Consumer</v>
      </c>
      <c r="G389" t="str">
        <f>PROPER(TRIM(Raw_Data!G389))</f>
        <v>Mouse</v>
      </c>
      <c r="H389" t="str">
        <f>PROPER(TRIM(Raw_Data!H389))</f>
        <v>Mouse Basic</v>
      </c>
      <c r="I389">
        <f>IFERROR(MAX(0,VALUE(Raw_Data!I389)),0)</f>
        <v>2</v>
      </c>
      <c r="J389" s="13">
        <f>IFERROR(VALUE(Raw_Data!J389),0)</f>
        <v>1154</v>
      </c>
      <c r="K389" s="14">
        <f>IFERROR(VALUE(Raw_Data!K389),0)</f>
        <v>0</v>
      </c>
      <c r="L389" t="str">
        <f>PROPER(TRIM(Raw_Data!L389))</f>
        <v>Delivered</v>
      </c>
      <c r="M389" s="13">
        <f t="shared" si="48"/>
        <v>2308</v>
      </c>
      <c r="N389" s="13">
        <f t="shared" si="49"/>
        <v>0</v>
      </c>
      <c r="O389" s="13">
        <f t="shared" si="50"/>
        <v>2308</v>
      </c>
      <c r="P389" s="13">
        <f t="shared" si="51"/>
        <v>1269.4</v>
      </c>
      <c r="Q389" s="13">
        <f t="shared" si="52"/>
        <v>1038.6</v>
      </c>
      <c r="R389" s="10">
        <f t="shared" si="53"/>
        <v>0.45</v>
      </c>
      <c r="S389" t="str">
        <f t="shared" si="54"/>
        <v>Jun-2026</v>
      </c>
      <c r="T389" t="str">
        <f t="shared" si="55"/>
        <v>OK</v>
      </c>
    </row>
    <row r="390" spans="1:20">
      <c r="A390" t="str">
        <f>TRIM(Raw_Data!A390)</f>
        <v>ORD-10389</v>
      </c>
      <c r="B390" s="12">
        <f>IFERROR(IF(ISNUMBER(Raw_Data!B390),Raw_Data!B390,DATEVALUE(Raw_Data!B390)),"")</f>
        <v>46186</v>
      </c>
      <c r="C390" t="str">
        <f>PROPER(TRIM(Raw_Data!C390))</f>
        <v>Meghana</v>
      </c>
      <c r="D390" t="str">
        <f>IF(TRIM(Raw_Data!D390)="Bangalore","Bengaluru",IF(TRIM(Raw_Data!D390)="Mysore","Mysuru",IF(TRIM(Raw_Data!D390)="Cochin","Kochi",PROPER(TRIM(Raw_Data!D390)))))</f>
        <v>Mumbai</v>
      </c>
      <c r="E390" t="str">
        <f>PROPER(TRIM(Raw_Data!E390))</f>
        <v>Online</v>
      </c>
      <c r="F390" t="str">
        <f>PROPER(TRIM(Raw_Data!F390))</f>
        <v>Enterprise</v>
      </c>
      <c r="G390" t="str">
        <f>PROPER(TRIM(Raw_Data!G390))</f>
        <v>Keyboard</v>
      </c>
      <c r="H390" t="str">
        <f>PROPER(TRIM(Raw_Data!H390))</f>
        <v>Keyboard Office</v>
      </c>
      <c r="I390">
        <f>IFERROR(MAX(0,VALUE(Raw_Data!I390)),0)</f>
        <v>8</v>
      </c>
      <c r="J390" s="13">
        <f>IFERROR(VALUE(Raw_Data!J390),0)</f>
        <v>2716</v>
      </c>
      <c r="K390" s="14">
        <f>IFERROR(VALUE(Raw_Data!K390),0)</f>
        <v>0.15</v>
      </c>
      <c r="L390" t="str">
        <f>PROPER(TRIM(Raw_Data!L390))</f>
        <v>Delivered</v>
      </c>
      <c r="M390" s="13">
        <f t="shared" si="48"/>
        <v>21728</v>
      </c>
      <c r="N390" s="13">
        <f t="shared" si="49"/>
        <v>3259.2</v>
      </c>
      <c r="O390" s="13">
        <f t="shared" si="50"/>
        <v>18468.8</v>
      </c>
      <c r="P390" s="13">
        <f t="shared" si="51"/>
        <v>12602.24</v>
      </c>
      <c r="Q390" s="13">
        <f t="shared" si="52"/>
        <v>5866.56</v>
      </c>
      <c r="R390" s="10">
        <f t="shared" si="53"/>
        <v>0.317647058823529</v>
      </c>
      <c r="S390" t="str">
        <f t="shared" si="54"/>
        <v>Jun-2026</v>
      </c>
      <c r="T390" t="str">
        <f t="shared" si="55"/>
        <v>OK</v>
      </c>
    </row>
    <row r="391" spans="1:20">
      <c r="A391" t="str">
        <f>TRIM(Raw_Data!A391)</f>
        <v>ORD-10390</v>
      </c>
      <c r="B391" s="12">
        <f>IFERROR(IF(ISNUMBER(Raw_Data!B391),Raw_Data!B391,DATEVALUE(Raw_Data!B391)),"")</f>
        <v>46025</v>
      </c>
      <c r="C391" t="str">
        <f>PROPER(TRIM(Raw_Data!C391))</f>
        <v>Bhoomika</v>
      </c>
      <c r="D391" t="str">
        <f>IF(TRIM(Raw_Data!D391)="Bangalore","Bengaluru",IF(TRIM(Raw_Data!D391)="Mysore","Mysuru",IF(TRIM(Raw_Data!D391)="Cochin","Kochi",PROPER(TRIM(Raw_Data!D391)))))</f>
        <v>Mysuru</v>
      </c>
      <c r="E391" t="str">
        <f>PROPER(TRIM(Raw_Data!E391))</f>
        <v>Online</v>
      </c>
      <c r="F391" t="str">
        <f>PROPER(TRIM(Raw_Data!F391))</f>
        <v>Smb</v>
      </c>
      <c r="G391" t="str">
        <f>PROPER(TRIM(Raw_Data!G391))</f>
        <v>Headset</v>
      </c>
      <c r="H391" t="str">
        <f>PROPER(TRIM(Raw_Data!H391))</f>
        <v>Headset Wireless</v>
      </c>
      <c r="I391">
        <f>IFERROR(MAX(0,VALUE(Raw_Data!I391)),0)</f>
        <v>2</v>
      </c>
      <c r="J391" s="13">
        <f>IFERROR(VALUE(Raw_Data!J391),0)</f>
        <v>5371</v>
      </c>
      <c r="K391" s="14">
        <f>IFERROR(VALUE(Raw_Data!K391),0)</f>
        <v>0</v>
      </c>
      <c r="L391" t="str">
        <f>PROPER(TRIM(Raw_Data!L391))</f>
        <v>Delivered</v>
      </c>
      <c r="M391" s="13">
        <f t="shared" si="48"/>
        <v>10742</v>
      </c>
      <c r="N391" s="13">
        <f t="shared" si="49"/>
        <v>0</v>
      </c>
      <c r="O391" s="13">
        <f t="shared" si="50"/>
        <v>10742</v>
      </c>
      <c r="P391" s="13">
        <f t="shared" si="51"/>
        <v>6445.2</v>
      </c>
      <c r="Q391" s="13">
        <f t="shared" si="52"/>
        <v>4296.8</v>
      </c>
      <c r="R391" s="10">
        <f t="shared" si="53"/>
        <v>0.4</v>
      </c>
      <c r="S391" t="str">
        <f t="shared" si="54"/>
        <v>Jan-2026</v>
      </c>
      <c r="T391" t="str">
        <f t="shared" si="55"/>
        <v>OK</v>
      </c>
    </row>
    <row r="392" spans="1:20">
      <c r="A392" t="str">
        <f>TRIM(Raw_Data!A392)</f>
        <v>ORD-10391</v>
      </c>
      <c r="B392" s="12">
        <f>IFERROR(IF(ISNUMBER(Raw_Data!B392),Raw_Data!B392,DATEVALUE(Raw_Data!B392)),"")</f>
        <v>46113</v>
      </c>
      <c r="C392" t="str">
        <f>PROPER(TRIM(Raw_Data!C392))</f>
        <v>Priya</v>
      </c>
      <c r="D392" t="str">
        <f>IF(TRIM(Raw_Data!D392)="Bangalore","Bengaluru",IF(TRIM(Raw_Data!D392)="Mysore","Mysuru",IF(TRIM(Raw_Data!D392)="Cochin","Kochi",PROPER(TRIM(Raw_Data!D392)))))</f>
        <v>Delhi</v>
      </c>
      <c r="E392" t="str">
        <f>PROPER(TRIM(Raw_Data!E392))</f>
        <v>Corporate</v>
      </c>
      <c r="F392" t="str">
        <f>PROPER(TRIM(Raw_Data!F392))</f>
        <v>Enterprise</v>
      </c>
      <c r="G392" t="str">
        <f>PROPER(TRIM(Raw_Data!G392))</f>
        <v>Keyboard</v>
      </c>
      <c r="H392" t="str">
        <f>PROPER(TRIM(Raw_Data!H392))</f>
        <v>Keyboard Office</v>
      </c>
      <c r="I392">
        <f>IFERROR(MAX(0,VALUE(Raw_Data!I392)),0)</f>
        <v>1</v>
      </c>
      <c r="J392" s="13">
        <f>IFERROR(VALUE(Raw_Data!J392),0)</f>
        <v>2123</v>
      </c>
      <c r="K392" s="14">
        <f>IFERROR(VALUE(Raw_Data!K392),0)</f>
        <v>0.02</v>
      </c>
      <c r="L392" t="str">
        <f>PROPER(TRIM(Raw_Data!L392))</f>
        <v>Pending</v>
      </c>
      <c r="M392" s="13">
        <f t="shared" si="48"/>
        <v>2123</v>
      </c>
      <c r="N392" s="13">
        <f t="shared" si="49"/>
        <v>42.46</v>
      </c>
      <c r="O392" s="13">
        <f t="shared" si="50"/>
        <v>2080.54</v>
      </c>
      <c r="P392" s="13">
        <f t="shared" si="51"/>
        <v>1231.34</v>
      </c>
      <c r="Q392" s="13">
        <f t="shared" si="52"/>
        <v>849.2</v>
      </c>
      <c r="R392" s="10">
        <f t="shared" si="53"/>
        <v>0.408163265306122</v>
      </c>
      <c r="S392" t="str">
        <f t="shared" si="54"/>
        <v>Apr-2026</v>
      </c>
      <c r="T392" t="str">
        <f t="shared" si="55"/>
        <v>OK</v>
      </c>
    </row>
    <row r="393" spans="1:20">
      <c r="A393" t="str">
        <f>TRIM(Raw_Data!A393)</f>
        <v>ORD-10392</v>
      </c>
      <c r="B393" s="12">
        <f>IFERROR(IF(ISNUMBER(Raw_Data!B393),Raw_Data!B393,DATEVALUE(Raw_Data!B393)),"")</f>
        <v>46138</v>
      </c>
      <c r="C393" t="str">
        <f>PROPER(TRIM(Raw_Data!C393))</f>
        <v>Arjun</v>
      </c>
      <c r="D393" t="str">
        <f>IF(TRIM(Raw_Data!D393)="Bangalore","Bengaluru",IF(TRIM(Raw_Data!D393)="Mysore","Mysuru",IF(TRIM(Raw_Data!D393)="Cochin","Kochi",PROPER(TRIM(Raw_Data!D393)))))</f>
        <v>Mumbai</v>
      </c>
      <c r="E393" t="str">
        <f>PROPER(TRIM(Raw_Data!E393))</f>
        <v>Retail Store</v>
      </c>
      <c r="F393" t="str">
        <f>PROPER(TRIM(Raw_Data!F393))</f>
        <v>Enterprise</v>
      </c>
      <c r="G393" t="str">
        <f>PROPER(TRIM(Raw_Data!G393))</f>
        <v>Headset</v>
      </c>
      <c r="H393" t="str">
        <f>PROPER(TRIM(Raw_Data!H393))</f>
        <v>Headset Pro</v>
      </c>
      <c r="I393">
        <f>IFERROR(MAX(0,VALUE(Raw_Data!I393)),0)</f>
        <v>5</v>
      </c>
      <c r="J393" s="13">
        <f>IFERROR(VALUE(Raw_Data!J393),0)</f>
        <v>4918</v>
      </c>
      <c r="K393" s="14">
        <f>IFERROR(VALUE(Raw_Data!K393),0)</f>
        <v>0.05</v>
      </c>
      <c r="L393" t="str">
        <f>PROPER(TRIM(Raw_Data!L393))</f>
        <v>Delivered</v>
      </c>
      <c r="M393" s="13">
        <f t="shared" si="48"/>
        <v>24590</v>
      </c>
      <c r="N393" s="13">
        <f t="shared" si="49"/>
        <v>1229.5</v>
      </c>
      <c r="O393" s="13">
        <f t="shared" si="50"/>
        <v>23360.5</v>
      </c>
      <c r="P393" s="13">
        <f t="shared" si="51"/>
        <v>14754</v>
      </c>
      <c r="Q393" s="13">
        <f t="shared" si="52"/>
        <v>8606.5</v>
      </c>
      <c r="R393" s="10">
        <f t="shared" si="53"/>
        <v>0.368421052631579</v>
      </c>
      <c r="S393" t="str">
        <f t="shared" si="54"/>
        <v>Apr-2026</v>
      </c>
      <c r="T393" t="str">
        <f t="shared" si="55"/>
        <v>OK</v>
      </c>
    </row>
    <row r="394" spans="1:20">
      <c r="A394" t="str">
        <f>TRIM(Raw_Data!A394)</f>
        <v>ORD-10393</v>
      </c>
      <c r="B394" s="12">
        <f>IFERROR(IF(ISNUMBER(Raw_Data!B394),Raw_Data!B394,DATEVALUE(Raw_Data!B394)),"")</f>
        <v>46100</v>
      </c>
      <c r="C394" t="str">
        <f>PROPER(TRIM(Raw_Data!C394))</f>
        <v>Bhoomika</v>
      </c>
      <c r="D394" t="str">
        <f>IF(TRIM(Raw_Data!D394)="Bangalore","Bengaluru",IF(TRIM(Raw_Data!D394)="Mysore","Mysuru",IF(TRIM(Raw_Data!D394)="Cochin","Kochi",PROPER(TRIM(Raw_Data!D394)))))</f>
        <v>Chennai</v>
      </c>
      <c r="E394" t="str">
        <f>PROPER(TRIM(Raw_Data!E394))</f>
        <v>Online</v>
      </c>
      <c r="F394" t="str">
        <f>PROPER(TRIM(Raw_Data!F394))</f>
        <v>Smb</v>
      </c>
      <c r="G394" t="str">
        <f>PROPER(TRIM(Raw_Data!G394))</f>
        <v>Mouse</v>
      </c>
      <c r="H394" t="str">
        <f>PROPER(TRIM(Raw_Data!H394))</f>
        <v>Mouse Ergonomic</v>
      </c>
      <c r="I394">
        <f>IFERROR(MAX(0,VALUE(Raw_Data!I394)),0)</f>
        <v>5</v>
      </c>
      <c r="J394" s="13">
        <f>IFERROR(VALUE(Raw_Data!J394),0)</f>
        <v>867</v>
      </c>
      <c r="K394" s="14">
        <f>IFERROR(VALUE(Raw_Data!K394),0)</f>
        <v>0.1</v>
      </c>
      <c r="L394" t="str">
        <f>PROPER(TRIM(Raw_Data!L394))</f>
        <v>Delivered</v>
      </c>
      <c r="M394" s="13">
        <f t="shared" si="48"/>
        <v>4335</v>
      </c>
      <c r="N394" s="13">
        <f t="shared" si="49"/>
        <v>433.5</v>
      </c>
      <c r="O394" s="13">
        <f t="shared" si="50"/>
        <v>3901.5</v>
      </c>
      <c r="P394" s="13">
        <f t="shared" si="51"/>
        <v>2384.25</v>
      </c>
      <c r="Q394" s="13">
        <f t="shared" si="52"/>
        <v>1517.25</v>
      </c>
      <c r="R394" s="10">
        <f t="shared" si="53"/>
        <v>0.388888888888889</v>
      </c>
      <c r="S394" t="str">
        <f t="shared" si="54"/>
        <v>Mar-2026</v>
      </c>
      <c r="T394" t="str">
        <f t="shared" si="55"/>
        <v>OK</v>
      </c>
    </row>
    <row r="395" spans="1:20">
      <c r="A395" t="str">
        <f>TRIM(Raw_Data!A395)</f>
        <v>ORD-10394</v>
      </c>
      <c r="B395" s="12">
        <f>IFERROR(IF(ISNUMBER(Raw_Data!B395),Raw_Data!B395,DATEVALUE(Raw_Data!B395)),"")</f>
        <v>46210</v>
      </c>
      <c r="C395" t="str">
        <f>PROPER(TRIM(Raw_Data!C395))</f>
        <v>Kiran</v>
      </c>
      <c r="D395" t="str">
        <f>IF(TRIM(Raw_Data!D395)="Bangalore","Bengaluru",IF(TRIM(Raw_Data!D395)="Mysore","Mysuru",IF(TRIM(Raw_Data!D395)="Cochin","Kochi",PROPER(TRIM(Raw_Data!D395)))))</f>
        <v>Chennai</v>
      </c>
      <c r="E395" t="str">
        <f>PROPER(TRIM(Raw_Data!E395))</f>
        <v>Retail Store</v>
      </c>
      <c r="F395" t="str">
        <f>PROPER(TRIM(Raw_Data!F395))</f>
        <v>Consumer</v>
      </c>
      <c r="G395" t="str">
        <f>PROPER(TRIM(Raw_Data!G395))</f>
        <v>Monitor</v>
      </c>
      <c r="H395" t="str">
        <f>PROPER(TRIM(Raw_Data!H395))</f>
        <v>Monitor 27</v>
      </c>
      <c r="I395">
        <f>IFERROR(MAX(0,VALUE(Raw_Data!I395)),0)</f>
        <v>4</v>
      </c>
      <c r="J395" s="13">
        <f>IFERROR(VALUE(Raw_Data!J395),0)</f>
        <v>16171</v>
      </c>
      <c r="K395" s="14">
        <f>IFERROR(VALUE(Raw_Data!K395),0)</f>
        <v>0.15</v>
      </c>
      <c r="L395" t="str">
        <f>PROPER(TRIM(Raw_Data!L395))</f>
        <v>Returned</v>
      </c>
      <c r="M395" s="13">
        <f t="shared" si="48"/>
        <v>64684</v>
      </c>
      <c r="N395" s="13">
        <f t="shared" si="49"/>
        <v>9702.6</v>
      </c>
      <c r="O395" s="13">
        <f t="shared" si="50"/>
        <v>54981.4</v>
      </c>
      <c r="P395" s="13">
        <f t="shared" si="51"/>
        <v>45278.8</v>
      </c>
      <c r="Q395" s="13">
        <f t="shared" si="52"/>
        <v>9702.60000000001</v>
      </c>
      <c r="R395" s="10">
        <f t="shared" si="53"/>
        <v>0.176470588235294</v>
      </c>
      <c r="S395" t="str">
        <f t="shared" si="54"/>
        <v>Jul-2026</v>
      </c>
      <c r="T395" t="str">
        <f t="shared" si="55"/>
        <v>OK</v>
      </c>
    </row>
    <row r="396" spans="1:20">
      <c r="A396" t="str">
        <f>TRIM(Raw_Data!A396)</f>
        <v>ORD-10395</v>
      </c>
      <c r="B396" s="12">
        <f>IFERROR(IF(ISNUMBER(Raw_Data!B396),Raw_Data!B396,DATEVALUE(Raw_Data!B396)),"")</f>
        <v>46100</v>
      </c>
      <c r="C396" t="str">
        <f>PROPER(TRIM(Raw_Data!C396))</f>
        <v>Arjun</v>
      </c>
      <c r="D396" t="str">
        <f>IF(TRIM(Raw_Data!D396)="Bangalore","Bengaluru",IF(TRIM(Raw_Data!D396)="Mysore","Mysuru",IF(TRIM(Raw_Data!D396)="Cochin","Kochi",PROPER(TRIM(Raw_Data!D396)))))</f>
        <v>Mumbai</v>
      </c>
      <c r="E396" t="str">
        <f>PROPER(TRIM(Raw_Data!E396))</f>
        <v>Retail Store</v>
      </c>
      <c r="F396" t="str">
        <f>PROPER(TRIM(Raw_Data!F396))</f>
        <v>Enterprise</v>
      </c>
      <c r="G396" t="str">
        <f>PROPER(TRIM(Raw_Data!G396))</f>
        <v>Keyboard</v>
      </c>
      <c r="H396" t="str">
        <f>PROPER(TRIM(Raw_Data!H396))</f>
        <v>Keyboard Wireless</v>
      </c>
      <c r="I396">
        <f>IFERROR(MAX(0,VALUE(Raw_Data!I396)),0)</f>
        <v>2</v>
      </c>
      <c r="J396" s="13">
        <f>IFERROR(VALUE(Raw_Data!J396),0)</f>
        <v>2702</v>
      </c>
      <c r="K396" s="14">
        <f>IFERROR(VALUE(Raw_Data!K396),0)</f>
        <v>0.02</v>
      </c>
      <c r="L396" t="str">
        <f>PROPER(TRIM(Raw_Data!L396))</f>
        <v>Cancelled</v>
      </c>
      <c r="M396" s="13">
        <f t="shared" si="48"/>
        <v>5404</v>
      </c>
      <c r="N396" s="13">
        <f t="shared" si="49"/>
        <v>108.08</v>
      </c>
      <c r="O396" s="13">
        <f t="shared" si="50"/>
        <v>5295.92</v>
      </c>
      <c r="P396" s="13">
        <f t="shared" si="51"/>
        <v>3134.32</v>
      </c>
      <c r="Q396" s="13">
        <f t="shared" si="52"/>
        <v>2161.6</v>
      </c>
      <c r="R396" s="10">
        <f t="shared" si="53"/>
        <v>0.408163265306123</v>
      </c>
      <c r="S396" t="str">
        <f t="shared" si="54"/>
        <v>Mar-2026</v>
      </c>
      <c r="T396" t="str">
        <f t="shared" si="55"/>
        <v>OK</v>
      </c>
    </row>
    <row r="397" spans="1:20">
      <c r="A397" t="str">
        <f>TRIM(Raw_Data!A397)</f>
        <v>ORD-10396</v>
      </c>
      <c r="B397" s="12">
        <f>IFERROR(IF(ISNUMBER(Raw_Data!B397),Raw_Data!B397,DATEVALUE(Raw_Data!B397)),"")</f>
        <v>46224</v>
      </c>
      <c r="C397" t="str">
        <f>PROPER(TRIM(Raw_Data!C397))</f>
        <v>Neha</v>
      </c>
      <c r="D397" t="str">
        <f>IF(TRIM(Raw_Data!D397)="Bangalore","Bengaluru",IF(TRIM(Raw_Data!D397)="Mysore","Mysuru",IF(TRIM(Raw_Data!D397)="Cochin","Kochi",PROPER(TRIM(Raw_Data!D397)))))</f>
        <v>Delhi</v>
      </c>
      <c r="E397" t="str">
        <f>PROPER(TRIM(Raw_Data!E397))</f>
        <v>Retail Store</v>
      </c>
      <c r="F397" t="str">
        <f>PROPER(TRIM(Raw_Data!F397))</f>
        <v>Consumer</v>
      </c>
      <c r="G397" t="str">
        <f>PROPER(TRIM(Raw_Data!G397))</f>
        <v>Monitor</v>
      </c>
      <c r="H397" t="str">
        <f>PROPER(TRIM(Raw_Data!H397))</f>
        <v>Monitor 32</v>
      </c>
      <c r="I397">
        <f>IFERROR(MAX(0,VALUE(Raw_Data!I397)),0)</f>
        <v>3</v>
      </c>
      <c r="J397" s="13">
        <f>IFERROR(VALUE(Raw_Data!J397),0)</f>
        <v>26801</v>
      </c>
      <c r="K397" s="14">
        <f>IFERROR(VALUE(Raw_Data!K397),0)</f>
        <v>0.08</v>
      </c>
      <c r="L397" t="str">
        <f>PROPER(TRIM(Raw_Data!L397))</f>
        <v>Returned</v>
      </c>
      <c r="M397" s="13">
        <f t="shared" si="48"/>
        <v>80403</v>
      </c>
      <c r="N397" s="13">
        <f t="shared" si="49"/>
        <v>6432.24</v>
      </c>
      <c r="O397" s="13">
        <f t="shared" si="50"/>
        <v>73970.76</v>
      </c>
      <c r="P397" s="13">
        <f t="shared" si="51"/>
        <v>56282.1</v>
      </c>
      <c r="Q397" s="13">
        <f t="shared" si="52"/>
        <v>17688.66</v>
      </c>
      <c r="R397" s="10">
        <f t="shared" si="53"/>
        <v>0.239130434782609</v>
      </c>
      <c r="S397" t="str">
        <f t="shared" si="54"/>
        <v>Jul-2026</v>
      </c>
      <c r="T397" t="str">
        <f t="shared" si="55"/>
        <v>OK</v>
      </c>
    </row>
    <row r="398" spans="1:20">
      <c r="A398" t="str">
        <f>TRIM(Raw_Data!A398)</f>
        <v>ORD-10397</v>
      </c>
      <c r="B398" s="12">
        <f>IFERROR(IF(ISNUMBER(Raw_Data!B398),Raw_Data!B398,DATEVALUE(Raw_Data!B398)),"")</f>
        <v>46206</v>
      </c>
      <c r="C398" t="str">
        <f>PROPER(TRIM(Raw_Data!C398))</f>
        <v>Asha</v>
      </c>
      <c r="D398" t="str">
        <f>IF(TRIM(Raw_Data!D398)="Bangalore","Bengaluru",IF(TRIM(Raw_Data!D398)="Mysore","Mysuru",IF(TRIM(Raw_Data!D398)="Cochin","Kochi",PROPER(TRIM(Raw_Data!D398)))))</f>
        <v>Pune</v>
      </c>
      <c r="E398" t="str">
        <f>PROPER(TRIM(Raw_Data!E398))</f>
        <v>Online</v>
      </c>
      <c r="F398" t="str">
        <f>PROPER(TRIM(Raw_Data!F398))</f>
        <v>Smb</v>
      </c>
      <c r="G398" t="str">
        <f>PROPER(TRIM(Raw_Data!G398))</f>
        <v>Laptop</v>
      </c>
      <c r="H398" t="str">
        <f>PROPER(TRIM(Raw_Data!H398))</f>
        <v>Business Laptop 15</v>
      </c>
      <c r="I398">
        <f>IFERROR(MAX(0,VALUE(Raw_Data!I398)),0)</f>
        <v>3</v>
      </c>
      <c r="J398" s="13">
        <f>IFERROR(VALUE(Raw_Data!J398),0)</f>
        <v>78833</v>
      </c>
      <c r="K398" s="14">
        <f>IFERROR(VALUE(Raw_Data!K398),0)</f>
        <v>0.05</v>
      </c>
      <c r="L398" t="str">
        <f>PROPER(TRIM(Raw_Data!L398))</f>
        <v>Returned</v>
      </c>
      <c r="M398" s="13">
        <f t="shared" si="48"/>
        <v>236499</v>
      </c>
      <c r="N398" s="13">
        <f t="shared" si="49"/>
        <v>11824.95</v>
      </c>
      <c r="O398" s="13">
        <f t="shared" si="50"/>
        <v>224674.05</v>
      </c>
      <c r="P398" s="13">
        <f t="shared" si="51"/>
        <v>184469.22</v>
      </c>
      <c r="Q398" s="13">
        <f t="shared" si="52"/>
        <v>40204.83</v>
      </c>
      <c r="R398" s="10">
        <f t="shared" si="53"/>
        <v>0.178947368421053</v>
      </c>
      <c r="S398" t="str">
        <f t="shared" si="54"/>
        <v>Jul-2026</v>
      </c>
      <c r="T398" t="str">
        <f t="shared" si="55"/>
        <v>OK</v>
      </c>
    </row>
    <row r="399" spans="1:20">
      <c r="A399" t="str">
        <f>TRIM(Raw_Data!A399)</f>
        <v>ORD-10398</v>
      </c>
      <c r="B399" s="12">
        <f>IFERROR(IF(ISNUMBER(Raw_Data!B399),Raw_Data!B399,DATEVALUE(Raw_Data!B399)),"")</f>
        <v>46099</v>
      </c>
      <c r="C399" t="str">
        <f>PROPER(TRIM(Raw_Data!C399))</f>
        <v>Priya</v>
      </c>
      <c r="D399" t="str">
        <f>IF(TRIM(Raw_Data!D399)="Bangalore","Bengaluru",IF(TRIM(Raw_Data!D399)="Mysore","Mysuru",IF(TRIM(Raw_Data!D399)="Cochin","Kochi",PROPER(TRIM(Raw_Data!D399)))))</f>
        <v>Hyderabad</v>
      </c>
      <c r="E399" t="str">
        <f>PROPER(TRIM(Raw_Data!E399))</f>
        <v>Corporate</v>
      </c>
      <c r="F399" t="str">
        <f>PROPER(TRIM(Raw_Data!F399))</f>
        <v>Smb</v>
      </c>
      <c r="G399" t="str">
        <f>PROPER(TRIM(Raw_Data!G399))</f>
        <v>Mouse</v>
      </c>
      <c r="H399" t="str">
        <f>PROPER(TRIM(Raw_Data!H399))</f>
        <v>Mouse Ergonomic</v>
      </c>
      <c r="I399">
        <f>IFERROR(MAX(0,VALUE(Raw_Data!I399)),0)</f>
        <v>8</v>
      </c>
      <c r="J399" s="13">
        <f>IFERROR(VALUE(Raw_Data!J399),0)</f>
        <v>3209</v>
      </c>
      <c r="K399" s="14">
        <f>IFERROR(VALUE(Raw_Data!K399),0)</f>
        <v>0.15</v>
      </c>
      <c r="L399" t="str">
        <f>PROPER(TRIM(Raw_Data!L399))</f>
        <v>Cancelled</v>
      </c>
      <c r="M399" s="13">
        <f t="shared" si="48"/>
        <v>25672</v>
      </c>
      <c r="N399" s="13">
        <f t="shared" si="49"/>
        <v>3850.8</v>
      </c>
      <c r="O399" s="13">
        <f t="shared" si="50"/>
        <v>21821.2</v>
      </c>
      <c r="P399" s="13">
        <f t="shared" si="51"/>
        <v>14119.6</v>
      </c>
      <c r="Q399" s="13">
        <f t="shared" si="52"/>
        <v>7701.6</v>
      </c>
      <c r="R399" s="10">
        <f t="shared" si="53"/>
        <v>0.352941176470588</v>
      </c>
      <c r="S399" t="str">
        <f t="shared" si="54"/>
        <v>Mar-2026</v>
      </c>
      <c r="T399" t="str">
        <f t="shared" si="55"/>
        <v>OK</v>
      </c>
    </row>
    <row r="400" spans="1:20">
      <c r="A400" t="str">
        <f>TRIM(Raw_Data!A400)</f>
        <v>ORD-10399</v>
      </c>
      <c r="B400" s="12">
        <f>IFERROR(IF(ISNUMBER(Raw_Data!B400),Raw_Data!B400,DATEVALUE(Raw_Data!B400)),"")</f>
        <v>46201</v>
      </c>
      <c r="C400" t="str">
        <f>PROPER(TRIM(Raw_Data!C400))</f>
        <v>Bhoomika</v>
      </c>
      <c r="D400" t="str">
        <f>IF(TRIM(Raw_Data!D400)="Bangalore","Bengaluru",IF(TRIM(Raw_Data!D400)="Mysore","Mysuru",IF(TRIM(Raw_Data!D400)="Cochin","Kochi",PROPER(TRIM(Raw_Data!D400)))))</f>
        <v>Kochi</v>
      </c>
      <c r="E400" t="str">
        <f>PROPER(TRIM(Raw_Data!E400))</f>
        <v>Corporate</v>
      </c>
      <c r="F400" t="str">
        <f>PROPER(TRIM(Raw_Data!F400))</f>
        <v>Smb</v>
      </c>
      <c r="G400" t="str">
        <f>PROPER(TRIM(Raw_Data!G400))</f>
        <v>Laptop</v>
      </c>
      <c r="H400" t="str">
        <f>PROPER(TRIM(Raw_Data!H400))</f>
        <v>Laptop Air 13</v>
      </c>
      <c r="I400">
        <f>IFERROR(MAX(0,VALUE(Raw_Data!I400)),0)</f>
        <v>2</v>
      </c>
      <c r="J400" s="13">
        <f>IFERROR(VALUE(Raw_Data!J400),0)</f>
        <v>72841</v>
      </c>
      <c r="K400" s="14">
        <f>IFERROR(VALUE(Raw_Data!K400),0)</f>
        <v>0.1</v>
      </c>
      <c r="L400" t="str">
        <f>PROPER(TRIM(Raw_Data!L400))</f>
        <v>Pending</v>
      </c>
      <c r="M400" s="13">
        <f t="shared" si="48"/>
        <v>145682</v>
      </c>
      <c r="N400" s="13">
        <f t="shared" si="49"/>
        <v>14568.2</v>
      </c>
      <c r="O400" s="13">
        <f t="shared" si="50"/>
        <v>131113.8</v>
      </c>
      <c r="P400" s="13">
        <f t="shared" si="51"/>
        <v>113631.96</v>
      </c>
      <c r="Q400" s="13">
        <f t="shared" si="52"/>
        <v>17481.84</v>
      </c>
      <c r="R400" s="10">
        <f t="shared" si="53"/>
        <v>0.133333333333333</v>
      </c>
      <c r="S400" t="str">
        <f t="shared" si="54"/>
        <v>Jun-2026</v>
      </c>
      <c r="T400" t="str">
        <f t="shared" si="55"/>
        <v>OK</v>
      </c>
    </row>
    <row r="401" spans="1:20">
      <c r="A401" t="str">
        <f>TRIM(Raw_Data!A401)</f>
        <v>ORD-10400</v>
      </c>
      <c r="B401" s="12">
        <f>IFERROR(IF(ISNUMBER(Raw_Data!B401),Raw_Data!B401,DATEVALUE(Raw_Data!B401)),"")</f>
        <v>46151</v>
      </c>
      <c r="C401" t="str">
        <f>PROPER(TRIM(Raw_Data!C401))</f>
        <v>Neha</v>
      </c>
      <c r="D401" t="str">
        <f>IF(TRIM(Raw_Data!D401)="Bangalore","Bengaluru",IF(TRIM(Raw_Data!D401)="Mysore","Mysuru",IF(TRIM(Raw_Data!D401)="Cochin","Kochi",PROPER(TRIM(Raw_Data!D401)))))</f>
        <v>Kochi</v>
      </c>
      <c r="E401" t="str">
        <f>PROPER(TRIM(Raw_Data!E401))</f>
        <v>Retail Store</v>
      </c>
      <c r="F401" t="str">
        <f>PROPER(TRIM(Raw_Data!F401))</f>
        <v>Consumer</v>
      </c>
      <c r="G401" t="str">
        <f>PROPER(TRIM(Raw_Data!G401))</f>
        <v>Monitor</v>
      </c>
      <c r="H401" t="str">
        <f>PROPER(TRIM(Raw_Data!H401))</f>
        <v>Monitor 27</v>
      </c>
      <c r="I401">
        <f>IFERROR(MAX(0,VALUE(Raw_Data!I401)),0)</f>
        <v>6</v>
      </c>
      <c r="J401" s="13">
        <f>IFERROR(VALUE(Raw_Data!J401),0)</f>
        <v>11056</v>
      </c>
      <c r="K401" s="14">
        <f>IFERROR(VALUE(Raw_Data!K401),0)</f>
        <v>0.15</v>
      </c>
      <c r="L401" t="str">
        <f>PROPER(TRIM(Raw_Data!L401))</f>
        <v>Returned</v>
      </c>
      <c r="M401" s="13">
        <f t="shared" si="48"/>
        <v>66336</v>
      </c>
      <c r="N401" s="13">
        <f t="shared" si="49"/>
        <v>9950.4</v>
      </c>
      <c r="O401" s="13">
        <f t="shared" si="50"/>
        <v>56385.6</v>
      </c>
      <c r="P401" s="13">
        <f t="shared" si="51"/>
        <v>46435.2</v>
      </c>
      <c r="Q401" s="13">
        <f t="shared" si="52"/>
        <v>9950.4</v>
      </c>
      <c r="R401" s="10">
        <f t="shared" si="53"/>
        <v>0.176470588235294</v>
      </c>
      <c r="S401" t="str">
        <f t="shared" si="54"/>
        <v>May-2026</v>
      </c>
      <c r="T401" t="str">
        <f t="shared" si="55"/>
        <v>OK</v>
      </c>
    </row>
    <row r="402" spans="1:20">
      <c r="A402" t="str">
        <f>TRIM(Raw_Data!A402)</f>
        <v>ORD-10401</v>
      </c>
      <c r="B402" s="12">
        <f>IFERROR(IF(ISNUMBER(Raw_Data!B402),Raw_Data!B402,DATEVALUE(Raw_Data!B402)),"")</f>
        <v>46152</v>
      </c>
      <c r="C402" t="str">
        <f>PROPER(TRIM(Raw_Data!C402))</f>
        <v>Ravi</v>
      </c>
      <c r="D402" t="str">
        <f>IF(TRIM(Raw_Data!D402)="Bangalore","Bengaluru",IF(TRIM(Raw_Data!D402)="Mysore","Mysuru",IF(TRIM(Raw_Data!D402)="Cochin","Kochi",PROPER(TRIM(Raw_Data!D402)))))</f>
        <v>Hyderabad</v>
      </c>
      <c r="E402" t="str">
        <f>PROPER(TRIM(Raw_Data!E402))</f>
        <v>Retail Store</v>
      </c>
      <c r="F402" t="str">
        <f>PROPER(TRIM(Raw_Data!F402))</f>
        <v>Consumer</v>
      </c>
      <c r="G402" t="str">
        <f>PROPER(TRIM(Raw_Data!G402))</f>
        <v>Headset</v>
      </c>
      <c r="H402" t="str">
        <f>PROPER(TRIM(Raw_Data!H402))</f>
        <v>Headset Wireless</v>
      </c>
      <c r="I402">
        <f>IFERROR(MAX(0,VALUE(Raw_Data!I402)),0)</f>
        <v>1</v>
      </c>
      <c r="J402" s="13">
        <f>IFERROR(VALUE(Raw_Data!J402),0)</f>
        <v>1868</v>
      </c>
      <c r="K402" s="14">
        <f>IFERROR(VALUE(Raw_Data!K402),0)</f>
        <v>0.15</v>
      </c>
      <c r="L402" t="str">
        <f>PROPER(TRIM(Raw_Data!L402))</f>
        <v>Delivered</v>
      </c>
      <c r="M402" s="13">
        <f t="shared" si="48"/>
        <v>1868</v>
      </c>
      <c r="N402" s="13">
        <f t="shared" si="49"/>
        <v>280.2</v>
      </c>
      <c r="O402" s="13">
        <f t="shared" si="50"/>
        <v>1587.8</v>
      </c>
      <c r="P402" s="13">
        <f t="shared" si="51"/>
        <v>1120.8</v>
      </c>
      <c r="Q402" s="13">
        <f t="shared" si="52"/>
        <v>467</v>
      </c>
      <c r="R402" s="10">
        <f t="shared" si="53"/>
        <v>0.294117647058824</v>
      </c>
      <c r="S402" t="str">
        <f t="shared" si="54"/>
        <v>May-2026</v>
      </c>
      <c r="T402" t="str">
        <f t="shared" si="55"/>
        <v>OK</v>
      </c>
    </row>
    <row r="403" spans="1:20">
      <c r="A403" t="str">
        <f>TRIM(Raw_Data!A403)</f>
        <v>ORD-10402</v>
      </c>
      <c r="B403" s="12">
        <f>IFERROR(IF(ISNUMBER(Raw_Data!B403),Raw_Data!B403,DATEVALUE(Raw_Data!B403)),"")</f>
        <v>46052</v>
      </c>
      <c r="C403" t="str">
        <f>PROPER(TRIM(Raw_Data!C403))</f>
        <v>Meghana</v>
      </c>
      <c r="D403" t="str">
        <f>IF(TRIM(Raw_Data!D403)="Bangalore","Bengaluru",IF(TRIM(Raw_Data!D403)="Mysore","Mysuru",IF(TRIM(Raw_Data!D403)="Cochin","Kochi",PROPER(TRIM(Raw_Data!D403)))))</f>
        <v>Chennai</v>
      </c>
      <c r="E403" t="str">
        <f>PROPER(TRIM(Raw_Data!E403))</f>
        <v>Corporate</v>
      </c>
      <c r="F403" t="str">
        <f>PROPER(TRIM(Raw_Data!F403))</f>
        <v>Smb</v>
      </c>
      <c r="G403" t="str">
        <f>PROPER(TRIM(Raw_Data!G403))</f>
        <v>Laptop</v>
      </c>
      <c r="H403" t="str">
        <f>PROPER(TRIM(Raw_Data!H403))</f>
        <v>Business Laptop 15</v>
      </c>
      <c r="I403">
        <f>IFERROR(MAX(0,VALUE(Raw_Data!I403)),0)</f>
        <v>2</v>
      </c>
      <c r="J403" s="13">
        <f>IFERROR(VALUE(Raw_Data!J403),0)</f>
        <v>73936</v>
      </c>
      <c r="K403" s="14">
        <f>IFERROR(VALUE(Raw_Data!K403),0)</f>
        <v>0.15</v>
      </c>
      <c r="L403" t="str">
        <f>PROPER(TRIM(Raw_Data!L403))</f>
        <v>Pending</v>
      </c>
      <c r="M403" s="13">
        <f t="shared" si="48"/>
        <v>147872</v>
      </c>
      <c r="N403" s="13">
        <f t="shared" si="49"/>
        <v>22180.8</v>
      </c>
      <c r="O403" s="13">
        <f t="shared" si="50"/>
        <v>125691.2</v>
      </c>
      <c r="P403" s="13">
        <f t="shared" si="51"/>
        <v>115340.16</v>
      </c>
      <c r="Q403" s="13">
        <f t="shared" si="52"/>
        <v>10351.04</v>
      </c>
      <c r="R403" s="10">
        <f t="shared" si="53"/>
        <v>0.0823529411764705</v>
      </c>
      <c r="S403" t="str">
        <f t="shared" si="54"/>
        <v>Jan-2026</v>
      </c>
      <c r="T403" t="str">
        <f t="shared" si="55"/>
        <v>OK</v>
      </c>
    </row>
    <row r="404" spans="1:20">
      <c r="A404" t="str">
        <f>TRIM(Raw_Data!A404)</f>
        <v>ORD-10403</v>
      </c>
      <c r="B404" s="12">
        <f>IFERROR(IF(ISNUMBER(Raw_Data!B404),Raw_Data!B404,DATEVALUE(Raw_Data!B404)),"")</f>
        <v>46230</v>
      </c>
      <c r="C404" t="str">
        <f>PROPER(TRIM(Raw_Data!C404))</f>
        <v>Neha</v>
      </c>
      <c r="D404" t="str">
        <f>IF(TRIM(Raw_Data!D404)="Bangalore","Bengaluru",IF(TRIM(Raw_Data!D404)="Mysore","Mysuru",IF(TRIM(Raw_Data!D404)="Cochin","Kochi",PROPER(TRIM(Raw_Data!D404)))))</f>
        <v>New Delhi</v>
      </c>
      <c r="E404" t="str">
        <f>PROPER(TRIM(Raw_Data!E404))</f>
        <v>Corporate</v>
      </c>
      <c r="F404" t="str">
        <f>PROPER(TRIM(Raw_Data!F404))</f>
        <v>Smb</v>
      </c>
      <c r="G404" t="str">
        <f>PROPER(TRIM(Raw_Data!G404))</f>
        <v>Monitor</v>
      </c>
      <c r="H404" t="str">
        <f>PROPER(TRIM(Raw_Data!H404))</f>
        <v>Monitor 24</v>
      </c>
      <c r="I404">
        <f>IFERROR(MAX(0,VALUE(Raw_Data!I404)),0)</f>
        <v>8</v>
      </c>
      <c r="J404" s="13">
        <f>IFERROR(VALUE(Raw_Data!J404),0)</f>
        <v>27621</v>
      </c>
      <c r="K404" s="14">
        <f>IFERROR(VALUE(Raw_Data!K404),0)</f>
        <v>0.02</v>
      </c>
      <c r="L404" t="str">
        <f>PROPER(TRIM(Raw_Data!L404))</f>
        <v>Delivered</v>
      </c>
      <c r="M404" s="13">
        <f t="shared" si="48"/>
        <v>220968</v>
      </c>
      <c r="N404" s="13">
        <f t="shared" si="49"/>
        <v>4419.36</v>
      </c>
      <c r="O404" s="13">
        <f t="shared" si="50"/>
        <v>216548.64</v>
      </c>
      <c r="P404" s="13">
        <f t="shared" si="51"/>
        <v>154677.6</v>
      </c>
      <c r="Q404" s="13">
        <f t="shared" si="52"/>
        <v>61871.04</v>
      </c>
      <c r="R404" s="10">
        <f t="shared" si="53"/>
        <v>0.285714285714286</v>
      </c>
      <c r="S404" t="str">
        <f t="shared" si="54"/>
        <v>Jul-2026</v>
      </c>
      <c r="T404" t="str">
        <f t="shared" si="55"/>
        <v>OK</v>
      </c>
    </row>
    <row r="405" spans="1:20">
      <c r="A405" t="str">
        <f>TRIM(Raw_Data!A405)</f>
        <v>ORD-10404</v>
      </c>
      <c r="B405" s="12">
        <f>IFERROR(IF(ISNUMBER(Raw_Data!B405),Raw_Data!B405,DATEVALUE(Raw_Data!B405)),"")</f>
        <v>46161</v>
      </c>
      <c r="C405" t="str">
        <f>PROPER(TRIM(Raw_Data!C405))</f>
        <v>Meghana</v>
      </c>
      <c r="D405" t="str">
        <f>IF(TRIM(Raw_Data!D405)="Bangalore","Bengaluru",IF(TRIM(Raw_Data!D405)="Mysore","Mysuru",IF(TRIM(Raw_Data!D405)="Cochin","Kochi",PROPER(TRIM(Raw_Data!D405)))))</f>
        <v>Pune</v>
      </c>
      <c r="E405" t="str">
        <f>PROPER(TRIM(Raw_Data!E405))</f>
        <v>Corporate</v>
      </c>
      <c r="F405" t="str">
        <f>PROPER(TRIM(Raw_Data!F405))</f>
        <v>Consumer</v>
      </c>
      <c r="G405" t="str">
        <f>PROPER(TRIM(Raw_Data!G405))</f>
        <v>Keyboard</v>
      </c>
      <c r="H405" t="str">
        <f>PROPER(TRIM(Raw_Data!H405))</f>
        <v>Keyboard Wireless</v>
      </c>
      <c r="I405">
        <f>IFERROR(MAX(0,VALUE(Raw_Data!I405)),0)</f>
        <v>3</v>
      </c>
      <c r="J405" s="13">
        <f>IFERROR(VALUE(Raw_Data!J405),0)</f>
        <v>4398</v>
      </c>
      <c r="K405" s="14">
        <f>IFERROR(VALUE(Raw_Data!K405),0)</f>
        <v>0.05</v>
      </c>
      <c r="L405" t="str">
        <f>PROPER(TRIM(Raw_Data!L405))</f>
        <v>Delivered</v>
      </c>
      <c r="M405" s="13">
        <f t="shared" si="48"/>
        <v>13194</v>
      </c>
      <c r="N405" s="13">
        <f t="shared" si="49"/>
        <v>659.7</v>
      </c>
      <c r="O405" s="13">
        <f t="shared" si="50"/>
        <v>12534.3</v>
      </c>
      <c r="P405" s="13">
        <f t="shared" si="51"/>
        <v>7652.52</v>
      </c>
      <c r="Q405" s="13">
        <f t="shared" si="52"/>
        <v>4881.78</v>
      </c>
      <c r="R405" s="10">
        <f t="shared" si="53"/>
        <v>0.389473684210526</v>
      </c>
      <c r="S405" t="str">
        <f t="shared" si="54"/>
        <v>May-2026</v>
      </c>
      <c r="T405" t="str">
        <f t="shared" si="55"/>
        <v>OK</v>
      </c>
    </row>
    <row r="406" spans="1:20">
      <c r="A406" t="str">
        <f>TRIM(Raw_Data!A406)</f>
        <v>ORD-10405</v>
      </c>
      <c r="B406" s="12">
        <f>IFERROR(IF(ISNUMBER(Raw_Data!B406),Raw_Data!B406,DATEVALUE(Raw_Data!B406)),"")</f>
        <v>46250</v>
      </c>
      <c r="C406" t="str">
        <f>PROPER(TRIM(Raw_Data!C406))</f>
        <v>Asha</v>
      </c>
      <c r="D406" t="str">
        <f>IF(TRIM(Raw_Data!D406)="Bangalore","Bengaluru",IF(TRIM(Raw_Data!D406)="Mysore","Mysuru",IF(TRIM(Raw_Data!D406)="Cochin","Kochi",PROPER(TRIM(Raw_Data!D406)))))</f>
        <v>Pune</v>
      </c>
      <c r="E406" t="str">
        <f>PROPER(TRIM(Raw_Data!E406))</f>
        <v>Retail Store</v>
      </c>
      <c r="F406" t="str">
        <f>PROPER(TRIM(Raw_Data!F406))</f>
        <v>Consumer</v>
      </c>
      <c r="G406" t="str">
        <f>PROPER(TRIM(Raw_Data!G406))</f>
        <v>Laptop</v>
      </c>
      <c r="H406" t="str">
        <f>PROPER(TRIM(Raw_Data!H406))</f>
        <v>Laptop Pro 14</v>
      </c>
      <c r="I406">
        <f>IFERROR(MAX(0,VALUE(Raw_Data!I406)),0)</f>
        <v>2</v>
      </c>
      <c r="J406" s="13">
        <f>IFERROR(VALUE(Raw_Data!J406),0)</f>
        <v>80853</v>
      </c>
      <c r="K406" s="14">
        <f>IFERROR(VALUE(Raw_Data!K406),0)</f>
        <v>0.1</v>
      </c>
      <c r="L406" t="str">
        <f>PROPER(TRIM(Raw_Data!L406))</f>
        <v>Cancelled</v>
      </c>
      <c r="M406" s="13">
        <f t="shared" si="48"/>
        <v>161706</v>
      </c>
      <c r="N406" s="13">
        <f t="shared" si="49"/>
        <v>16170.6</v>
      </c>
      <c r="O406" s="13">
        <f t="shared" si="50"/>
        <v>145535.4</v>
      </c>
      <c r="P406" s="13">
        <f t="shared" si="51"/>
        <v>126130.68</v>
      </c>
      <c r="Q406" s="13">
        <f t="shared" si="52"/>
        <v>19404.72</v>
      </c>
      <c r="R406" s="10">
        <f t="shared" si="53"/>
        <v>0.133333333333333</v>
      </c>
      <c r="S406" t="str">
        <f t="shared" si="54"/>
        <v>Aug-2026</v>
      </c>
      <c r="T406" t="str">
        <f t="shared" si="55"/>
        <v>OK</v>
      </c>
    </row>
    <row r="407" spans="1:20">
      <c r="A407" t="str">
        <f>TRIM(Raw_Data!A407)</f>
        <v>ORD-10406</v>
      </c>
      <c r="B407" s="12">
        <f>IFERROR(IF(ISNUMBER(Raw_Data!B407),Raw_Data!B407,DATEVALUE(Raw_Data!B407)),"")</f>
        <v>46100</v>
      </c>
      <c r="C407" t="str">
        <f>PROPER(TRIM(Raw_Data!C407))</f>
        <v>Kiran</v>
      </c>
      <c r="D407" t="str">
        <f>IF(TRIM(Raw_Data!D407)="Bangalore","Bengaluru",IF(TRIM(Raw_Data!D407)="Mysore","Mysuru",IF(TRIM(Raw_Data!D407)="Cochin","Kochi",PROPER(TRIM(Raw_Data!D407)))))</f>
        <v>Bengaluru</v>
      </c>
      <c r="E407" t="str">
        <f>PROPER(TRIM(Raw_Data!E407))</f>
        <v>Retail Store</v>
      </c>
      <c r="F407" t="str">
        <f>PROPER(TRIM(Raw_Data!F407))</f>
        <v>Smb</v>
      </c>
      <c r="G407" t="str">
        <f>PROPER(TRIM(Raw_Data!G407))</f>
        <v>Monitor</v>
      </c>
      <c r="H407" t="str">
        <f>PROPER(TRIM(Raw_Data!H407))</f>
        <v>Monitor 24</v>
      </c>
      <c r="I407">
        <f>IFERROR(MAX(0,VALUE(Raw_Data!I407)),0)</f>
        <v>1</v>
      </c>
      <c r="J407" s="13">
        <f>IFERROR(VALUE(Raw_Data!J407),0)</f>
        <v>15428</v>
      </c>
      <c r="K407" s="14">
        <f>IFERROR(VALUE(Raw_Data!K407),0)</f>
        <v>0.1</v>
      </c>
      <c r="L407" t="str">
        <f>PROPER(TRIM(Raw_Data!L407))</f>
        <v>Pending</v>
      </c>
      <c r="M407" s="13">
        <f t="shared" si="48"/>
        <v>15428</v>
      </c>
      <c r="N407" s="13">
        <f t="shared" si="49"/>
        <v>1542.8</v>
      </c>
      <c r="O407" s="13">
        <f t="shared" si="50"/>
        <v>13885.2</v>
      </c>
      <c r="P407" s="13">
        <f t="shared" si="51"/>
        <v>10799.6</v>
      </c>
      <c r="Q407" s="13">
        <f t="shared" si="52"/>
        <v>3085.6</v>
      </c>
      <c r="R407" s="10">
        <f t="shared" si="53"/>
        <v>0.222222222222222</v>
      </c>
      <c r="S407" t="str">
        <f t="shared" si="54"/>
        <v>Mar-2026</v>
      </c>
      <c r="T407" t="str">
        <f t="shared" si="55"/>
        <v>OK</v>
      </c>
    </row>
    <row r="408" spans="1:20">
      <c r="A408" t="str">
        <f>TRIM(Raw_Data!A408)</f>
        <v>ORD-10407</v>
      </c>
      <c r="B408" s="12">
        <f>IFERROR(IF(ISNUMBER(Raw_Data!B408),Raw_Data!B408,DATEVALUE(Raw_Data!B408)),"")</f>
        <v>46081</v>
      </c>
      <c r="C408" t="str">
        <f>PROPER(TRIM(Raw_Data!C408))</f>
        <v>Arjun</v>
      </c>
      <c r="D408" t="str">
        <f>IF(TRIM(Raw_Data!D408)="Bangalore","Bengaluru",IF(TRIM(Raw_Data!D408)="Mysore","Mysuru",IF(TRIM(Raw_Data!D408)="Cochin","Kochi",PROPER(TRIM(Raw_Data!D408)))))</f>
        <v>Bengaluru</v>
      </c>
      <c r="E408" t="str">
        <f>PROPER(TRIM(Raw_Data!E408))</f>
        <v>Online</v>
      </c>
      <c r="F408" t="str">
        <f>PROPER(TRIM(Raw_Data!F408))</f>
        <v>Smb</v>
      </c>
      <c r="G408" t="str">
        <f>PROPER(TRIM(Raw_Data!G408))</f>
        <v>Mouse</v>
      </c>
      <c r="H408" t="str">
        <f>PROPER(TRIM(Raw_Data!H408))</f>
        <v>Mouse Basic</v>
      </c>
      <c r="I408">
        <f>IFERROR(MAX(0,VALUE(Raw_Data!I408)),0)</f>
        <v>3</v>
      </c>
      <c r="J408" s="13">
        <f>IFERROR(VALUE(Raw_Data!J408),0)</f>
        <v>1013</v>
      </c>
      <c r="K408" s="14">
        <f>IFERROR(VALUE(Raw_Data!K408),0)</f>
        <v>0.08</v>
      </c>
      <c r="L408" t="str">
        <f>PROPER(TRIM(Raw_Data!L408))</f>
        <v>Delivered</v>
      </c>
      <c r="M408" s="13">
        <f t="shared" si="48"/>
        <v>3039</v>
      </c>
      <c r="N408" s="13">
        <f t="shared" si="49"/>
        <v>243.12</v>
      </c>
      <c r="O408" s="13">
        <f t="shared" si="50"/>
        <v>2795.88</v>
      </c>
      <c r="P408" s="13">
        <f t="shared" si="51"/>
        <v>1671.45</v>
      </c>
      <c r="Q408" s="13">
        <f t="shared" si="52"/>
        <v>1124.43</v>
      </c>
      <c r="R408" s="10">
        <f t="shared" si="53"/>
        <v>0.402173913043478</v>
      </c>
      <c r="S408" t="str">
        <f t="shared" si="54"/>
        <v>Feb-2026</v>
      </c>
      <c r="T408" t="str">
        <f t="shared" si="55"/>
        <v>OK</v>
      </c>
    </row>
    <row r="409" spans="1:20">
      <c r="A409" t="str">
        <f>TRIM(Raw_Data!A409)</f>
        <v>ORD-10408</v>
      </c>
      <c r="B409" s="12">
        <f>IFERROR(IF(ISNUMBER(Raw_Data!B409),Raw_Data!B409,DATEVALUE(Raw_Data!B409)),"")</f>
        <v>46252</v>
      </c>
      <c r="C409" t="str">
        <f>PROPER(TRIM(Raw_Data!C409))</f>
        <v>Ravi</v>
      </c>
      <c r="D409" t="str">
        <f>IF(TRIM(Raw_Data!D409)="Bangalore","Bengaluru",IF(TRIM(Raw_Data!D409)="Mysore","Mysuru",IF(TRIM(Raw_Data!D409)="Cochin","Kochi",PROPER(TRIM(Raw_Data!D409)))))</f>
        <v>Mumbai</v>
      </c>
      <c r="E409" t="str">
        <f>PROPER(TRIM(Raw_Data!E409))</f>
        <v>Corporate</v>
      </c>
      <c r="F409" t="str">
        <f>PROPER(TRIM(Raw_Data!F409))</f>
        <v>Enterprise</v>
      </c>
      <c r="G409" t="str">
        <f>PROPER(TRIM(Raw_Data!G409))</f>
        <v>Monitor</v>
      </c>
      <c r="H409" t="str">
        <f>PROPER(TRIM(Raw_Data!H409))</f>
        <v>Monitor 27</v>
      </c>
      <c r="I409">
        <f>IFERROR(MAX(0,VALUE(Raw_Data!I409)),0)</f>
        <v>5</v>
      </c>
      <c r="J409" s="13">
        <f>IFERROR(VALUE(Raw_Data!J409),0)</f>
        <v>27068</v>
      </c>
      <c r="K409" s="14">
        <f>IFERROR(VALUE(Raw_Data!K409),0)</f>
        <v>0.05</v>
      </c>
      <c r="L409" t="str">
        <f>PROPER(TRIM(Raw_Data!L409))</f>
        <v>Returned</v>
      </c>
      <c r="M409" s="13">
        <f t="shared" si="48"/>
        <v>135340</v>
      </c>
      <c r="N409" s="13">
        <f t="shared" si="49"/>
        <v>6767</v>
      </c>
      <c r="O409" s="13">
        <f t="shared" si="50"/>
        <v>128573</v>
      </c>
      <c r="P409" s="13">
        <f t="shared" si="51"/>
        <v>94738</v>
      </c>
      <c r="Q409" s="13">
        <f t="shared" si="52"/>
        <v>33835</v>
      </c>
      <c r="R409" s="10">
        <f t="shared" si="53"/>
        <v>0.263157894736842</v>
      </c>
      <c r="S409" t="str">
        <f t="shared" si="54"/>
        <v>Aug-2026</v>
      </c>
      <c r="T409" t="str">
        <f t="shared" si="55"/>
        <v>OK</v>
      </c>
    </row>
    <row r="410" spans="1:20">
      <c r="A410" t="str">
        <f>TRIM(Raw_Data!A410)</f>
        <v>ORD-10409</v>
      </c>
      <c r="B410" s="12">
        <f>IFERROR(IF(ISNUMBER(Raw_Data!B410),Raw_Data!B410,DATEVALUE(Raw_Data!B410)),"")</f>
        <v>46224</v>
      </c>
      <c r="C410" t="str">
        <f>PROPER(TRIM(Raw_Data!C410))</f>
        <v>Bhoomika</v>
      </c>
      <c r="D410" t="str">
        <f>IF(TRIM(Raw_Data!D410)="Bangalore","Bengaluru",IF(TRIM(Raw_Data!D410)="Mysore","Mysuru",IF(TRIM(Raw_Data!D410)="Cochin","Kochi",PROPER(TRIM(Raw_Data!D410)))))</f>
        <v>Pune</v>
      </c>
      <c r="E410" t="str">
        <f>PROPER(TRIM(Raw_Data!E410))</f>
        <v>Retail Store</v>
      </c>
      <c r="F410" t="str">
        <f>PROPER(TRIM(Raw_Data!F410))</f>
        <v>Enterprise</v>
      </c>
      <c r="G410" t="str">
        <f>PROPER(TRIM(Raw_Data!G410))</f>
        <v>Monitor</v>
      </c>
      <c r="H410" t="str">
        <f>PROPER(TRIM(Raw_Data!H410))</f>
        <v>Monitor 24</v>
      </c>
      <c r="I410">
        <f>IFERROR(MAX(0,VALUE(Raw_Data!I410)),0)</f>
        <v>1</v>
      </c>
      <c r="J410" s="13">
        <f>IFERROR(VALUE(Raw_Data!J410),0)</f>
        <v>23868</v>
      </c>
      <c r="K410" s="14">
        <f>IFERROR(VALUE(Raw_Data!K410),0)</f>
        <v>0.05</v>
      </c>
      <c r="L410" t="str">
        <f>PROPER(TRIM(Raw_Data!L410))</f>
        <v>Delivered</v>
      </c>
      <c r="M410" s="13">
        <f t="shared" si="48"/>
        <v>23868</v>
      </c>
      <c r="N410" s="13">
        <f t="shared" si="49"/>
        <v>1193.4</v>
      </c>
      <c r="O410" s="13">
        <f t="shared" si="50"/>
        <v>22674.6</v>
      </c>
      <c r="P410" s="13">
        <f t="shared" si="51"/>
        <v>16707.6</v>
      </c>
      <c r="Q410" s="13">
        <f t="shared" si="52"/>
        <v>5967</v>
      </c>
      <c r="R410" s="10">
        <f t="shared" si="53"/>
        <v>0.263157894736842</v>
      </c>
      <c r="S410" t="str">
        <f t="shared" si="54"/>
        <v>Jul-2026</v>
      </c>
      <c r="T410" t="str">
        <f t="shared" si="55"/>
        <v>OK</v>
      </c>
    </row>
    <row r="411" spans="1:20">
      <c r="A411" t="str">
        <f>TRIM(Raw_Data!A411)</f>
        <v>ORD-10410</v>
      </c>
      <c r="B411" s="12">
        <f>IFERROR(IF(ISNUMBER(Raw_Data!B411),Raw_Data!B411,DATEVALUE(Raw_Data!B411)),"")</f>
        <v>46161</v>
      </c>
      <c r="C411" t="str">
        <f>PROPER(TRIM(Raw_Data!C411))</f>
        <v>Asha</v>
      </c>
      <c r="D411" t="str">
        <f>IF(TRIM(Raw_Data!D411)="Bangalore","Bengaluru",IF(TRIM(Raw_Data!D411)="Mysore","Mysuru",IF(TRIM(Raw_Data!D411)="Cochin","Kochi",PROPER(TRIM(Raw_Data!D411)))))</f>
        <v>New Delhi</v>
      </c>
      <c r="E411" t="str">
        <f>PROPER(TRIM(Raw_Data!E411))</f>
        <v>Corporate</v>
      </c>
      <c r="F411" t="str">
        <f>PROPER(TRIM(Raw_Data!F411))</f>
        <v>Enterprise</v>
      </c>
      <c r="G411" t="str">
        <f>PROPER(TRIM(Raw_Data!G411))</f>
        <v>Keyboard</v>
      </c>
      <c r="H411" t="str">
        <f>PROPER(TRIM(Raw_Data!H411))</f>
        <v>Keyboard Wireless</v>
      </c>
      <c r="I411">
        <f>IFERROR(MAX(0,VALUE(Raw_Data!I411)),0)</f>
        <v>7</v>
      </c>
      <c r="J411" s="13">
        <f>IFERROR(VALUE(Raw_Data!J411),0)</f>
        <v>1424</v>
      </c>
      <c r="K411" s="14">
        <f>IFERROR(VALUE(Raw_Data!K411),0)</f>
        <v>0.08</v>
      </c>
      <c r="L411" t="str">
        <f>PROPER(TRIM(Raw_Data!L411))</f>
        <v>Returned</v>
      </c>
      <c r="M411" s="13">
        <f t="shared" si="48"/>
        <v>9968</v>
      </c>
      <c r="N411" s="13">
        <f t="shared" si="49"/>
        <v>797.44</v>
      </c>
      <c r="O411" s="13">
        <f t="shared" si="50"/>
        <v>9170.56</v>
      </c>
      <c r="P411" s="13">
        <f t="shared" si="51"/>
        <v>5781.44</v>
      </c>
      <c r="Q411" s="13">
        <f t="shared" si="52"/>
        <v>3389.12</v>
      </c>
      <c r="R411" s="10">
        <f t="shared" si="53"/>
        <v>0.369565217391304</v>
      </c>
      <c r="S411" t="str">
        <f t="shared" si="54"/>
        <v>May-2026</v>
      </c>
      <c r="T411" t="str">
        <f t="shared" si="55"/>
        <v>OK</v>
      </c>
    </row>
    <row r="412" spans="1:20">
      <c r="A412" t="str">
        <f>TRIM(Raw_Data!A412)</f>
        <v>ORD-10411</v>
      </c>
      <c r="B412" s="12">
        <f>IFERROR(IF(ISNUMBER(Raw_Data!B412),Raw_Data!B412,DATEVALUE(Raw_Data!B412)),"")</f>
        <v>46083</v>
      </c>
      <c r="C412" t="str">
        <f>PROPER(TRIM(Raw_Data!C412))</f>
        <v>Bhoomika</v>
      </c>
      <c r="D412" t="str">
        <f>IF(TRIM(Raw_Data!D412)="Bangalore","Bengaluru",IF(TRIM(Raw_Data!D412)="Mysore","Mysuru",IF(TRIM(Raw_Data!D412)="Cochin","Kochi",PROPER(TRIM(Raw_Data!D412)))))</f>
        <v>Mumbai</v>
      </c>
      <c r="E412" t="str">
        <f>PROPER(TRIM(Raw_Data!E412))</f>
        <v>Corporate</v>
      </c>
      <c r="F412" t="str">
        <f>PROPER(TRIM(Raw_Data!F412))</f>
        <v>Consumer</v>
      </c>
      <c r="G412" t="str">
        <f>PROPER(TRIM(Raw_Data!G412))</f>
        <v>Monitor</v>
      </c>
      <c r="H412" t="str">
        <f>PROPER(TRIM(Raw_Data!H412))</f>
        <v>Monitor 24</v>
      </c>
      <c r="I412">
        <f>IFERROR(MAX(0,VALUE(Raw_Data!I412)),0)</f>
        <v>6</v>
      </c>
      <c r="J412" s="13">
        <f>IFERROR(VALUE(Raw_Data!J412),0)</f>
        <v>11802</v>
      </c>
      <c r="K412" s="14">
        <f>IFERROR(VALUE(Raw_Data!K412),0)</f>
        <v>0.1</v>
      </c>
      <c r="L412" t="str">
        <f>PROPER(TRIM(Raw_Data!L412))</f>
        <v>Pending</v>
      </c>
      <c r="M412" s="13">
        <f t="shared" si="48"/>
        <v>70812</v>
      </c>
      <c r="N412" s="13">
        <f t="shared" si="49"/>
        <v>7081.2</v>
      </c>
      <c r="O412" s="13">
        <f t="shared" si="50"/>
        <v>63730.8</v>
      </c>
      <c r="P412" s="13">
        <f t="shared" si="51"/>
        <v>49568.4</v>
      </c>
      <c r="Q412" s="13">
        <f t="shared" si="52"/>
        <v>14162.4</v>
      </c>
      <c r="R412" s="10">
        <f t="shared" si="53"/>
        <v>0.222222222222222</v>
      </c>
      <c r="S412" t="str">
        <f t="shared" si="54"/>
        <v>Mar-2026</v>
      </c>
      <c r="T412" t="str">
        <f t="shared" si="55"/>
        <v>OK</v>
      </c>
    </row>
    <row r="413" spans="1:20">
      <c r="A413" t="str">
        <f>TRIM(Raw_Data!A413)</f>
        <v>ORD-10412</v>
      </c>
      <c r="B413" s="12">
        <f>IFERROR(IF(ISNUMBER(Raw_Data!B413),Raw_Data!B413,DATEVALUE(Raw_Data!B413)),"")</f>
        <v>46114</v>
      </c>
      <c r="C413" t="str">
        <f>PROPER(TRIM(Raw_Data!C413))</f>
        <v>Bhoomika</v>
      </c>
      <c r="D413" t="str">
        <f>IF(TRIM(Raw_Data!D413)="Bangalore","Bengaluru",IF(TRIM(Raw_Data!D413)="Mysore","Mysuru",IF(TRIM(Raw_Data!D413)="Cochin","Kochi",PROPER(TRIM(Raw_Data!D413)))))</f>
        <v>Pune</v>
      </c>
      <c r="E413" t="str">
        <f>PROPER(TRIM(Raw_Data!E413))</f>
        <v>Online</v>
      </c>
      <c r="F413" t="str">
        <f>PROPER(TRIM(Raw_Data!F413))</f>
        <v>Smb</v>
      </c>
      <c r="G413" t="str">
        <f>PROPER(TRIM(Raw_Data!G413))</f>
        <v>Mouse</v>
      </c>
      <c r="H413" t="str">
        <f>PROPER(TRIM(Raw_Data!H413))</f>
        <v>Mouse Basic</v>
      </c>
      <c r="I413">
        <f>IFERROR(MAX(0,VALUE(Raw_Data!I413)),0)</f>
        <v>6</v>
      </c>
      <c r="J413" s="13">
        <f>IFERROR(VALUE(Raw_Data!J413),0)</f>
        <v>1832</v>
      </c>
      <c r="K413" s="14">
        <f>IFERROR(VALUE(Raw_Data!K413),0)</f>
        <v>0</v>
      </c>
      <c r="L413" t="str">
        <f>PROPER(TRIM(Raw_Data!L413))</f>
        <v>Pending</v>
      </c>
      <c r="M413" s="13">
        <f t="shared" si="48"/>
        <v>10992</v>
      </c>
      <c r="N413" s="13">
        <f t="shared" si="49"/>
        <v>0</v>
      </c>
      <c r="O413" s="13">
        <f t="shared" si="50"/>
        <v>10992</v>
      </c>
      <c r="P413" s="13">
        <f t="shared" si="51"/>
        <v>6045.6</v>
      </c>
      <c r="Q413" s="13">
        <f t="shared" si="52"/>
        <v>4946.4</v>
      </c>
      <c r="R413" s="10">
        <f t="shared" si="53"/>
        <v>0.45</v>
      </c>
      <c r="S413" t="str">
        <f t="shared" si="54"/>
        <v>Apr-2026</v>
      </c>
      <c r="T413" t="str">
        <f t="shared" si="55"/>
        <v>OK</v>
      </c>
    </row>
    <row r="414" spans="1:20">
      <c r="A414" t="str">
        <f>TRIM(Raw_Data!A414)</f>
        <v>ORD-10413</v>
      </c>
      <c r="B414" s="12">
        <f>IFERROR(IF(ISNUMBER(Raw_Data!B414),Raw_Data!B414,DATEVALUE(Raw_Data!B414)),"")</f>
        <v>46081</v>
      </c>
      <c r="C414" t="str">
        <f>PROPER(TRIM(Raw_Data!C414))</f>
        <v>Ravi</v>
      </c>
      <c r="D414" t="str">
        <f>IF(TRIM(Raw_Data!D414)="Bangalore","Bengaluru",IF(TRIM(Raw_Data!D414)="Mysore","Mysuru",IF(TRIM(Raw_Data!D414)="Cochin","Kochi",PROPER(TRIM(Raw_Data!D414)))))</f>
        <v>Mumbai</v>
      </c>
      <c r="E414" t="str">
        <f>PROPER(TRIM(Raw_Data!E414))</f>
        <v>Online</v>
      </c>
      <c r="F414" t="str">
        <f>PROPER(TRIM(Raw_Data!F414))</f>
        <v>Enterprise</v>
      </c>
      <c r="G414" t="str">
        <f>PROPER(TRIM(Raw_Data!G414))</f>
        <v>Laptop</v>
      </c>
      <c r="H414" t="str">
        <f>PROPER(TRIM(Raw_Data!H414))</f>
        <v>Business Laptop 15</v>
      </c>
      <c r="I414">
        <f>IFERROR(MAX(0,VALUE(Raw_Data!I414)),0)</f>
        <v>1</v>
      </c>
      <c r="J414" s="13">
        <f>IFERROR(VALUE(Raw_Data!J414),0)</f>
        <v>61871</v>
      </c>
      <c r="K414" s="14">
        <f>IFERROR(VALUE(Raw_Data!K414),0)</f>
        <v>0.1</v>
      </c>
      <c r="L414" t="str">
        <f>PROPER(TRIM(Raw_Data!L414))</f>
        <v>Delivered</v>
      </c>
      <c r="M414" s="13">
        <f t="shared" si="48"/>
        <v>61871</v>
      </c>
      <c r="N414" s="13">
        <f t="shared" si="49"/>
        <v>6187.1</v>
      </c>
      <c r="O414" s="13">
        <f t="shared" si="50"/>
        <v>55683.9</v>
      </c>
      <c r="P414" s="13">
        <f t="shared" si="51"/>
        <v>48259.38</v>
      </c>
      <c r="Q414" s="13">
        <f t="shared" si="52"/>
        <v>7424.52</v>
      </c>
      <c r="R414" s="10">
        <f t="shared" si="53"/>
        <v>0.133333333333333</v>
      </c>
      <c r="S414" t="str">
        <f t="shared" si="54"/>
        <v>Feb-2026</v>
      </c>
      <c r="T414" t="str">
        <f t="shared" si="55"/>
        <v>OK</v>
      </c>
    </row>
    <row r="415" spans="1:20">
      <c r="A415" t="str">
        <f>TRIM(Raw_Data!A415)</f>
        <v>ORD-10414</v>
      </c>
      <c r="B415" s="12">
        <f>IFERROR(IF(ISNUMBER(Raw_Data!B415),Raw_Data!B415,DATEVALUE(Raw_Data!B415)),"")</f>
        <v>46252</v>
      </c>
      <c r="C415" t="str">
        <f>PROPER(TRIM(Raw_Data!C415))</f>
        <v>Meghana</v>
      </c>
      <c r="D415" t="str">
        <f>IF(TRIM(Raw_Data!D415)="Bangalore","Bengaluru",IF(TRIM(Raw_Data!D415)="Mysore","Mysuru",IF(TRIM(Raw_Data!D415)="Cochin","Kochi",PROPER(TRIM(Raw_Data!D415)))))</f>
        <v>Mumbai</v>
      </c>
      <c r="E415" t="str">
        <f>PROPER(TRIM(Raw_Data!E415))</f>
        <v>Corporate</v>
      </c>
      <c r="F415" t="str">
        <f>PROPER(TRIM(Raw_Data!F415))</f>
        <v>Consumer</v>
      </c>
      <c r="G415" t="str">
        <f>PROPER(TRIM(Raw_Data!G415))</f>
        <v>Keyboard</v>
      </c>
      <c r="H415" t="str">
        <f>PROPER(TRIM(Raw_Data!H415))</f>
        <v>Keyboard Mechanical</v>
      </c>
      <c r="I415">
        <f>IFERROR(MAX(0,VALUE(Raw_Data!I415)),0)</f>
        <v>3</v>
      </c>
      <c r="J415" s="13">
        <f>IFERROR(VALUE(Raw_Data!J415),0)</f>
        <v>4217</v>
      </c>
      <c r="K415" s="14">
        <f>IFERROR(VALUE(Raw_Data!K415),0)</f>
        <v>0.1</v>
      </c>
      <c r="L415" t="str">
        <f>PROPER(TRIM(Raw_Data!L415))</f>
        <v>Delivered</v>
      </c>
      <c r="M415" s="13">
        <f t="shared" si="48"/>
        <v>12651</v>
      </c>
      <c r="N415" s="13">
        <f t="shared" si="49"/>
        <v>1265.1</v>
      </c>
      <c r="O415" s="13">
        <f t="shared" si="50"/>
        <v>11385.9</v>
      </c>
      <c r="P415" s="13">
        <f t="shared" si="51"/>
        <v>7337.58</v>
      </c>
      <c r="Q415" s="13">
        <f t="shared" si="52"/>
        <v>4048.32</v>
      </c>
      <c r="R415" s="10">
        <f t="shared" si="53"/>
        <v>0.355555555555556</v>
      </c>
      <c r="S415" t="str">
        <f t="shared" si="54"/>
        <v>Aug-2026</v>
      </c>
      <c r="T415" t="str">
        <f t="shared" si="55"/>
        <v>OK</v>
      </c>
    </row>
    <row r="416" spans="1:20">
      <c r="A416" t="str">
        <f>TRIM(Raw_Data!A416)</f>
        <v>ORD-10415</v>
      </c>
      <c r="B416" s="12">
        <f>IFERROR(IF(ISNUMBER(Raw_Data!B416),Raw_Data!B416,DATEVALUE(Raw_Data!B416)),"")</f>
        <v>46262</v>
      </c>
      <c r="C416" t="str">
        <f>PROPER(TRIM(Raw_Data!C416))</f>
        <v>Bhoomika</v>
      </c>
      <c r="D416" t="str">
        <f>IF(TRIM(Raw_Data!D416)="Bangalore","Bengaluru",IF(TRIM(Raw_Data!D416)="Mysore","Mysuru",IF(TRIM(Raw_Data!D416)="Cochin","Kochi",PROPER(TRIM(Raw_Data!D416)))))</f>
        <v>Kochi</v>
      </c>
      <c r="E416" t="str">
        <f>PROPER(TRIM(Raw_Data!E416))</f>
        <v>Retail Store</v>
      </c>
      <c r="F416" t="str">
        <f>PROPER(TRIM(Raw_Data!F416))</f>
        <v>Enterprise</v>
      </c>
      <c r="G416" t="str">
        <f>PROPER(TRIM(Raw_Data!G416))</f>
        <v>Monitor</v>
      </c>
      <c r="H416" t="str">
        <f>PROPER(TRIM(Raw_Data!H416))</f>
        <v>Monitor 32</v>
      </c>
      <c r="I416">
        <f>IFERROR(MAX(0,VALUE(Raw_Data!I416)),0)</f>
        <v>8</v>
      </c>
      <c r="J416" s="13">
        <f>IFERROR(VALUE(Raw_Data!J416),0)</f>
        <v>12972</v>
      </c>
      <c r="K416" s="14">
        <f>IFERROR(VALUE(Raw_Data!K416),0)</f>
        <v>0.05</v>
      </c>
      <c r="L416" t="str">
        <f>PROPER(TRIM(Raw_Data!L416))</f>
        <v>Delivered</v>
      </c>
      <c r="M416" s="13">
        <f t="shared" si="48"/>
        <v>103776</v>
      </c>
      <c r="N416" s="13">
        <f t="shared" si="49"/>
        <v>5188.8</v>
      </c>
      <c r="O416" s="13">
        <f t="shared" si="50"/>
        <v>98587.2</v>
      </c>
      <c r="P416" s="13">
        <f t="shared" si="51"/>
        <v>72643.2</v>
      </c>
      <c r="Q416" s="13">
        <f t="shared" si="52"/>
        <v>25944</v>
      </c>
      <c r="R416" s="10">
        <f t="shared" si="53"/>
        <v>0.263157894736842</v>
      </c>
      <c r="S416" t="str">
        <f t="shared" si="54"/>
        <v>Aug-2026</v>
      </c>
      <c r="T416" t="str">
        <f t="shared" si="55"/>
        <v>OK</v>
      </c>
    </row>
    <row r="417" spans="1:20">
      <c r="A417" t="str">
        <f>TRIM(Raw_Data!A417)</f>
        <v>ORD-10416</v>
      </c>
      <c r="B417" s="12">
        <f>IFERROR(IF(ISNUMBER(Raw_Data!B417),Raw_Data!B417,DATEVALUE(Raw_Data!B417)),"")</f>
        <v>46115</v>
      </c>
      <c r="C417" t="str">
        <f>PROPER(TRIM(Raw_Data!C417))</f>
        <v>Priya</v>
      </c>
      <c r="D417" t="str">
        <f>IF(TRIM(Raw_Data!D417)="Bangalore","Bengaluru",IF(TRIM(Raw_Data!D417)="Mysore","Mysuru",IF(TRIM(Raw_Data!D417)="Cochin","Kochi",PROPER(TRIM(Raw_Data!D417)))))</f>
        <v>Pune</v>
      </c>
      <c r="E417" t="str">
        <f>PROPER(TRIM(Raw_Data!E417))</f>
        <v>Retail Store</v>
      </c>
      <c r="F417" t="str">
        <f>PROPER(TRIM(Raw_Data!F417))</f>
        <v>Smb</v>
      </c>
      <c r="G417" t="str">
        <f>PROPER(TRIM(Raw_Data!G417))</f>
        <v>Mouse</v>
      </c>
      <c r="H417" t="str">
        <f>PROPER(TRIM(Raw_Data!H417))</f>
        <v>Mouse Basic</v>
      </c>
      <c r="I417">
        <f>IFERROR(MAX(0,VALUE(Raw_Data!I417)),0)</f>
        <v>4</v>
      </c>
      <c r="J417" s="13">
        <f>IFERROR(VALUE(Raw_Data!J417),0)</f>
        <v>3032</v>
      </c>
      <c r="K417" s="14">
        <f>IFERROR(VALUE(Raw_Data!K417),0)</f>
        <v>0.08</v>
      </c>
      <c r="L417" t="str">
        <f>PROPER(TRIM(Raw_Data!L417))</f>
        <v>Returned</v>
      </c>
      <c r="M417" s="13">
        <f t="shared" si="48"/>
        <v>12128</v>
      </c>
      <c r="N417" s="13">
        <f t="shared" si="49"/>
        <v>970.24</v>
      </c>
      <c r="O417" s="13">
        <f t="shared" si="50"/>
        <v>11157.76</v>
      </c>
      <c r="P417" s="13">
        <f t="shared" si="51"/>
        <v>6670.4</v>
      </c>
      <c r="Q417" s="13">
        <f t="shared" si="52"/>
        <v>4487.36</v>
      </c>
      <c r="R417" s="10">
        <f t="shared" si="53"/>
        <v>0.402173913043478</v>
      </c>
      <c r="S417" t="str">
        <f t="shared" si="54"/>
        <v>Apr-2026</v>
      </c>
      <c r="T417" t="str">
        <f t="shared" si="55"/>
        <v>OK</v>
      </c>
    </row>
    <row r="418" spans="1:20">
      <c r="A418" t="str">
        <f>TRIM(Raw_Data!A418)</f>
        <v>ORD-10417</v>
      </c>
      <c r="B418" s="12">
        <f>IFERROR(IF(ISNUMBER(Raw_Data!B418),Raw_Data!B418,DATEVALUE(Raw_Data!B418)),"")</f>
        <v>46090</v>
      </c>
      <c r="C418" t="str">
        <f>PROPER(TRIM(Raw_Data!C418))</f>
        <v>Kiran</v>
      </c>
      <c r="D418" t="str">
        <f>IF(TRIM(Raw_Data!D418)="Bangalore","Bengaluru",IF(TRIM(Raw_Data!D418)="Mysore","Mysuru",IF(TRIM(Raw_Data!D418)="Cochin","Kochi",PROPER(TRIM(Raw_Data!D418)))))</f>
        <v>Mysuru</v>
      </c>
      <c r="E418" t="str">
        <f>PROPER(TRIM(Raw_Data!E418))</f>
        <v>Retail Store</v>
      </c>
      <c r="F418" t="str">
        <f>PROPER(TRIM(Raw_Data!F418))</f>
        <v>Smb</v>
      </c>
      <c r="G418" t="str">
        <f>PROPER(TRIM(Raw_Data!G418))</f>
        <v>Headset</v>
      </c>
      <c r="H418" t="str">
        <f>PROPER(TRIM(Raw_Data!H418))</f>
        <v>Headset Office</v>
      </c>
      <c r="I418">
        <f>IFERROR(MAX(0,VALUE(Raw_Data!I418)),0)</f>
        <v>3</v>
      </c>
      <c r="J418" s="13">
        <f>IFERROR(VALUE(Raw_Data!J418),0)</f>
        <v>1696</v>
      </c>
      <c r="K418" s="14">
        <f>IFERROR(VALUE(Raw_Data!K418),0)</f>
        <v>0</v>
      </c>
      <c r="L418" t="str">
        <f>PROPER(TRIM(Raw_Data!L418))</f>
        <v>Delivered</v>
      </c>
      <c r="M418" s="13">
        <f t="shared" si="48"/>
        <v>5088</v>
      </c>
      <c r="N418" s="13">
        <f t="shared" si="49"/>
        <v>0</v>
      </c>
      <c r="O418" s="13">
        <f t="shared" si="50"/>
        <v>5088</v>
      </c>
      <c r="P418" s="13">
        <f t="shared" si="51"/>
        <v>3052.8</v>
      </c>
      <c r="Q418" s="13">
        <f t="shared" si="52"/>
        <v>2035.2</v>
      </c>
      <c r="R418" s="10">
        <f t="shared" si="53"/>
        <v>0.4</v>
      </c>
      <c r="S418" t="str">
        <f t="shared" si="54"/>
        <v>Mar-2026</v>
      </c>
      <c r="T418" t="str">
        <f t="shared" si="55"/>
        <v>OK</v>
      </c>
    </row>
    <row r="419" spans="1:20">
      <c r="A419" t="str">
        <f>TRIM(Raw_Data!A419)</f>
        <v>ORD-10418</v>
      </c>
      <c r="B419" s="12">
        <f>IFERROR(IF(ISNUMBER(Raw_Data!B419),Raw_Data!B419,DATEVALUE(Raw_Data!B419)),"")</f>
        <v>46258</v>
      </c>
      <c r="C419" t="str">
        <f>PROPER(TRIM(Raw_Data!C419))</f>
        <v>Ravi</v>
      </c>
      <c r="D419" t="str">
        <f>IF(TRIM(Raw_Data!D419)="Bangalore","Bengaluru",IF(TRIM(Raw_Data!D419)="Mysore","Mysuru",IF(TRIM(Raw_Data!D419)="Cochin","Kochi",PROPER(TRIM(Raw_Data!D419)))))</f>
        <v>Kochi</v>
      </c>
      <c r="E419" t="str">
        <f>PROPER(TRIM(Raw_Data!E419))</f>
        <v>Corporate</v>
      </c>
      <c r="F419" t="str">
        <f>PROPER(TRIM(Raw_Data!F419))</f>
        <v>Consumer</v>
      </c>
      <c r="G419" t="str">
        <f>PROPER(TRIM(Raw_Data!G419))</f>
        <v>Keyboard</v>
      </c>
      <c r="H419" t="str">
        <f>PROPER(TRIM(Raw_Data!H419))</f>
        <v>Keyboard Mechanical</v>
      </c>
      <c r="I419">
        <f>IFERROR(MAX(0,VALUE(Raw_Data!I419)),0)</f>
        <v>3</v>
      </c>
      <c r="J419" s="13">
        <f>IFERROR(VALUE(Raw_Data!J419),0)</f>
        <v>3569</v>
      </c>
      <c r="K419" s="14">
        <f>IFERROR(VALUE(Raw_Data!K419),0)</f>
        <v>0.15</v>
      </c>
      <c r="L419" t="str">
        <f>PROPER(TRIM(Raw_Data!L419))</f>
        <v>Delivered</v>
      </c>
      <c r="M419" s="13">
        <f t="shared" si="48"/>
        <v>10707</v>
      </c>
      <c r="N419" s="13">
        <f t="shared" si="49"/>
        <v>1606.05</v>
      </c>
      <c r="O419" s="13">
        <f t="shared" si="50"/>
        <v>9100.95</v>
      </c>
      <c r="P419" s="13">
        <f t="shared" si="51"/>
        <v>6210.06</v>
      </c>
      <c r="Q419" s="13">
        <f t="shared" si="52"/>
        <v>2890.89</v>
      </c>
      <c r="R419" s="10">
        <f t="shared" si="53"/>
        <v>0.31764705882353</v>
      </c>
      <c r="S419" t="str">
        <f t="shared" si="54"/>
        <v>Aug-2026</v>
      </c>
      <c r="T419" t="str">
        <f t="shared" si="55"/>
        <v>OK</v>
      </c>
    </row>
    <row r="420" spans="1:20">
      <c r="A420" t="str">
        <f>TRIM(Raw_Data!A420)</f>
        <v>ORD-10419</v>
      </c>
      <c r="B420" s="12">
        <f>IFERROR(IF(ISNUMBER(Raw_Data!B420),Raw_Data!B420,DATEVALUE(Raw_Data!B420)),"")</f>
        <v>46167</v>
      </c>
      <c r="C420" t="str">
        <f>PROPER(TRIM(Raw_Data!C420))</f>
        <v>Meghana</v>
      </c>
      <c r="D420" t="str">
        <f>IF(TRIM(Raw_Data!D420)="Bangalore","Bengaluru",IF(TRIM(Raw_Data!D420)="Mysore","Mysuru",IF(TRIM(Raw_Data!D420)="Cochin","Kochi",PROPER(TRIM(Raw_Data!D420)))))</f>
        <v>Kochi</v>
      </c>
      <c r="E420" t="str">
        <f>PROPER(TRIM(Raw_Data!E420))</f>
        <v>Corporate</v>
      </c>
      <c r="F420" t="str">
        <f>PROPER(TRIM(Raw_Data!F420))</f>
        <v>Enterprise</v>
      </c>
      <c r="G420" t="str">
        <f>PROPER(TRIM(Raw_Data!G420))</f>
        <v>Headset</v>
      </c>
      <c r="H420" t="str">
        <f>PROPER(TRIM(Raw_Data!H420))</f>
        <v>Headset Office</v>
      </c>
      <c r="I420">
        <f>IFERROR(MAX(0,VALUE(Raw_Data!I420)),0)</f>
        <v>3</v>
      </c>
      <c r="J420" s="13">
        <f>IFERROR(VALUE(Raw_Data!J420),0)</f>
        <v>2961</v>
      </c>
      <c r="K420" s="14">
        <f>IFERROR(VALUE(Raw_Data!K420),0)</f>
        <v>0</v>
      </c>
      <c r="L420" t="str">
        <f>PROPER(TRIM(Raw_Data!L420))</f>
        <v>Returned</v>
      </c>
      <c r="M420" s="13">
        <f t="shared" si="48"/>
        <v>8883</v>
      </c>
      <c r="N420" s="13">
        <f t="shared" si="49"/>
        <v>0</v>
      </c>
      <c r="O420" s="13">
        <f t="shared" si="50"/>
        <v>8883</v>
      </c>
      <c r="P420" s="13">
        <f t="shared" si="51"/>
        <v>5329.8</v>
      </c>
      <c r="Q420" s="13">
        <f t="shared" si="52"/>
        <v>3553.2</v>
      </c>
      <c r="R420" s="10">
        <f t="shared" si="53"/>
        <v>0.4</v>
      </c>
      <c r="S420" t="str">
        <f t="shared" si="54"/>
        <v>May-2026</v>
      </c>
      <c r="T420" t="str">
        <f t="shared" si="55"/>
        <v>OK</v>
      </c>
    </row>
    <row r="421" spans="1:20">
      <c r="A421" t="str">
        <f>TRIM(Raw_Data!A421)</f>
        <v>ORD-10420</v>
      </c>
      <c r="B421" s="12">
        <f>IFERROR(IF(ISNUMBER(Raw_Data!B421),Raw_Data!B421,DATEVALUE(Raw_Data!B421)),"")</f>
        <v>46050</v>
      </c>
      <c r="C421" t="str">
        <f>PROPER(TRIM(Raw_Data!C421))</f>
        <v>Meghana</v>
      </c>
      <c r="D421" t="str">
        <f>IF(TRIM(Raw_Data!D421)="Bangalore","Bengaluru",IF(TRIM(Raw_Data!D421)="Mysore","Mysuru",IF(TRIM(Raw_Data!D421)="Cochin","Kochi",PROPER(TRIM(Raw_Data!D421)))))</f>
        <v>Mumbai</v>
      </c>
      <c r="E421" t="str">
        <f>PROPER(TRIM(Raw_Data!E421))</f>
        <v>Online</v>
      </c>
      <c r="F421" t="str">
        <f>PROPER(TRIM(Raw_Data!F421))</f>
        <v>Enterprise</v>
      </c>
      <c r="G421" t="str">
        <f>PROPER(TRIM(Raw_Data!G421))</f>
        <v>Monitor</v>
      </c>
      <c r="H421" t="str">
        <f>PROPER(TRIM(Raw_Data!H421))</f>
        <v>Monitor 32</v>
      </c>
      <c r="I421">
        <f>IFERROR(MAX(0,VALUE(Raw_Data!I421)),0)</f>
        <v>3</v>
      </c>
      <c r="J421" s="13">
        <f>IFERROR(VALUE(Raw_Data!J421),0)</f>
        <v>12144</v>
      </c>
      <c r="K421" s="14">
        <f>IFERROR(VALUE(Raw_Data!K421),0)</f>
        <v>0</v>
      </c>
      <c r="L421" t="str">
        <f>PROPER(TRIM(Raw_Data!L421))</f>
        <v>Cancelled</v>
      </c>
      <c r="M421" s="13">
        <f t="shared" si="48"/>
        <v>36432</v>
      </c>
      <c r="N421" s="13">
        <f t="shared" si="49"/>
        <v>0</v>
      </c>
      <c r="O421" s="13">
        <f t="shared" si="50"/>
        <v>36432</v>
      </c>
      <c r="P421" s="13">
        <f t="shared" si="51"/>
        <v>25502.4</v>
      </c>
      <c r="Q421" s="13">
        <f t="shared" si="52"/>
        <v>10929.6</v>
      </c>
      <c r="R421" s="10">
        <f t="shared" si="53"/>
        <v>0.3</v>
      </c>
      <c r="S421" t="str">
        <f t="shared" si="54"/>
        <v>Jan-2026</v>
      </c>
      <c r="T421" t="str">
        <f t="shared" si="55"/>
        <v>OK</v>
      </c>
    </row>
    <row r="422" spans="1:20">
      <c r="A422" t="str">
        <f>TRIM(Raw_Data!A422)</f>
        <v>ORD-10421</v>
      </c>
      <c r="B422" s="12">
        <f>IFERROR(IF(ISNUMBER(Raw_Data!B422),Raw_Data!B422,DATEVALUE(Raw_Data!B422)),"")</f>
        <v>46136</v>
      </c>
      <c r="C422" t="str">
        <f>PROPER(TRIM(Raw_Data!C422))</f>
        <v>Ravi</v>
      </c>
      <c r="D422" t="str">
        <f>IF(TRIM(Raw_Data!D422)="Bangalore","Bengaluru",IF(TRIM(Raw_Data!D422)="Mysore","Mysuru",IF(TRIM(Raw_Data!D422)="Cochin","Kochi",PROPER(TRIM(Raw_Data!D422)))))</f>
        <v>Mumbai</v>
      </c>
      <c r="E422" t="str">
        <f>PROPER(TRIM(Raw_Data!E422))</f>
        <v>Retail Store</v>
      </c>
      <c r="F422" t="str">
        <f>PROPER(TRIM(Raw_Data!F422))</f>
        <v>Consumer</v>
      </c>
      <c r="G422" t="str">
        <f>PROPER(TRIM(Raw_Data!G422))</f>
        <v>Mouse</v>
      </c>
      <c r="H422" t="str">
        <f>PROPER(TRIM(Raw_Data!H422))</f>
        <v>Mouse Ergonomic</v>
      </c>
      <c r="I422">
        <f>IFERROR(MAX(0,VALUE(Raw_Data!I422)),0)</f>
        <v>6</v>
      </c>
      <c r="J422" s="13">
        <f>IFERROR(VALUE(Raw_Data!J422),0)</f>
        <v>3439</v>
      </c>
      <c r="K422" s="14">
        <f>IFERROR(VALUE(Raw_Data!K422),0)</f>
        <v>0</v>
      </c>
      <c r="L422" t="str">
        <f>PROPER(TRIM(Raw_Data!L422))</f>
        <v>Returned</v>
      </c>
      <c r="M422" s="13">
        <f t="shared" si="48"/>
        <v>20634</v>
      </c>
      <c r="N422" s="13">
        <f t="shared" si="49"/>
        <v>0</v>
      </c>
      <c r="O422" s="13">
        <f t="shared" si="50"/>
        <v>20634</v>
      </c>
      <c r="P422" s="13">
        <f t="shared" si="51"/>
        <v>11348.7</v>
      </c>
      <c r="Q422" s="13">
        <f t="shared" si="52"/>
        <v>9285.3</v>
      </c>
      <c r="R422" s="10">
        <f t="shared" si="53"/>
        <v>0.45</v>
      </c>
      <c r="S422" t="str">
        <f t="shared" si="54"/>
        <v>Apr-2026</v>
      </c>
      <c r="T422" t="str">
        <f t="shared" si="55"/>
        <v>OK</v>
      </c>
    </row>
    <row r="423" spans="1:20">
      <c r="A423" t="str">
        <f>TRIM(Raw_Data!A423)</f>
        <v>ORD-10422</v>
      </c>
      <c r="B423" s="12">
        <f>IFERROR(IF(ISNUMBER(Raw_Data!B423),Raw_Data!B423,DATEVALUE(Raw_Data!B423)),"")</f>
        <v>46238</v>
      </c>
      <c r="C423" t="str">
        <f>PROPER(TRIM(Raw_Data!C423))</f>
        <v>Priya</v>
      </c>
      <c r="D423" t="str">
        <f>IF(TRIM(Raw_Data!D423)="Bangalore","Bengaluru",IF(TRIM(Raw_Data!D423)="Mysore","Mysuru",IF(TRIM(Raw_Data!D423)="Cochin","Kochi",PROPER(TRIM(Raw_Data!D423)))))</f>
        <v>Bengaluru</v>
      </c>
      <c r="E423" t="str">
        <f>PROPER(TRIM(Raw_Data!E423))</f>
        <v>Retail Store</v>
      </c>
      <c r="F423" t="str">
        <f>PROPER(TRIM(Raw_Data!F423))</f>
        <v>Smb</v>
      </c>
      <c r="G423" t="str">
        <f>PROPER(TRIM(Raw_Data!G423))</f>
        <v>Headset</v>
      </c>
      <c r="H423" t="str">
        <f>PROPER(TRIM(Raw_Data!H423))</f>
        <v>Headset Office</v>
      </c>
      <c r="I423">
        <f>IFERROR(MAX(0,VALUE(Raw_Data!I423)),0)</f>
        <v>0</v>
      </c>
      <c r="J423" s="13">
        <f>IFERROR(VALUE(Raw_Data!J423),0)</f>
        <v>4581</v>
      </c>
      <c r="K423" s="14">
        <f>IFERROR(VALUE(Raw_Data!K423),0)</f>
        <v>0.15</v>
      </c>
      <c r="L423" t="str">
        <f>PROPER(TRIM(Raw_Data!L423))</f>
        <v>Delivered</v>
      </c>
      <c r="M423" s="13">
        <f t="shared" si="48"/>
        <v>0</v>
      </c>
      <c r="N423" s="13">
        <f t="shared" si="49"/>
        <v>0</v>
      </c>
      <c r="O423" s="13">
        <f t="shared" si="50"/>
        <v>0</v>
      </c>
      <c r="P423" s="13">
        <f t="shared" si="51"/>
        <v>0</v>
      </c>
      <c r="Q423" s="13">
        <f t="shared" si="52"/>
        <v>0</v>
      </c>
      <c r="R423" s="10">
        <f t="shared" si="53"/>
        <v>0</v>
      </c>
      <c r="S423" t="str">
        <f t="shared" si="54"/>
        <v>Aug-2026</v>
      </c>
      <c r="T423" t="str">
        <f t="shared" si="55"/>
        <v>CHECK</v>
      </c>
    </row>
    <row r="424" spans="1:20">
      <c r="A424" t="str">
        <f>TRIM(Raw_Data!A424)</f>
        <v>ORD-10423</v>
      </c>
      <c r="B424" s="12">
        <f>IFERROR(IF(ISNUMBER(Raw_Data!B424),Raw_Data!B424,DATEVALUE(Raw_Data!B424)),"")</f>
        <v>46032</v>
      </c>
      <c r="C424" t="str">
        <f>PROPER(TRIM(Raw_Data!C424))</f>
        <v>Neha</v>
      </c>
      <c r="D424" t="str">
        <f>IF(TRIM(Raw_Data!D424)="Bangalore","Bengaluru",IF(TRIM(Raw_Data!D424)="Mysore","Mysuru",IF(TRIM(Raw_Data!D424)="Cochin","Kochi",PROPER(TRIM(Raw_Data!D424)))))</f>
        <v>Mumbai</v>
      </c>
      <c r="E424" t="str">
        <f>PROPER(TRIM(Raw_Data!E424))</f>
        <v>Corporate</v>
      </c>
      <c r="F424" t="str">
        <f>PROPER(TRIM(Raw_Data!F424))</f>
        <v>Enterprise</v>
      </c>
      <c r="G424" t="str">
        <f>PROPER(TRIM(Raw_Data!G424))</f>
        <v>Mouse</v>
      </c>
      <c r="H424" t="str">
        <f>PROPER(TRIM(Raw_Data!H424))</f>
        <v>Mouse Basic</v>
      </c>
      <c r="I424">
        <f>IFERROR(MAX(0,VALUE(Raw_Data!I424)),0)</f>
        <v>3</v>
      </c>
      <c r="J424" s="13">
        <f>IFERROR(VALUE(Raw_Data!J424),0)</f>
        <v>2683</v>
      </c>
      <c r="K424" s="14">
        <f>IFERROR(VALUE(Raw_Data!K424),0)</f>
        <v>0.05</v>
      </c>
      <c r="L424" t="str">
        <f>PROPER(TRIM(Raw_Data!L424))</f>
        <v>Delivered</v>
      </c>
      <c r="M424" s="13">
        <f t="shared" si="48"/>
        <v>8049</v>
      </c>
      <c r="N424" s="13">
        <f t="shared" si="49"/>
        <v>402.45</v>
      </c>
      <c r="O424" s="13">
        <f t="shared" si="50"/>
        <v>7646.55</v>
      </c>
      <c r="P424" s="13">
        <f t="shared" si="51"/>
        <v>4426.95</v>
      </c>
      <c r="Q424" s="13">
        <f t="shared" si="52"/>
        <v>3219.6</v>
      </c>
      <c r="R424" s="10">
        <f t="shared" si="53"/>
        <v>0.421052631578947</v>
      </c>
      <c r="S424" t="str">
        <f t="shared" si="54"/>
        <v>Jan-2026</v>
      </c>
      <c r="T424" t="str">
        <f t="shared" si="55"/>
        <v>OK</v>
      </c>
    </row>
    <row r="425" spans="1:20">
      <c r="A425" t="str">
        <f>TRIM(Raw_Data!A425)</f>
        <v>ORD-10424</v>
      </c>
      <c r="B425" s="12">
        <f>IFERROR(IF(ISNUMBER(Raw_Data!B425),Raw_Data!B425,DATEVALUE(Raw_Data!B425)),"")</f>
        <v>46052</v>
      </c>
      <c r="C425" t="str">
        <f>PROPER(TRIM(Raw_Data!C425))</f>
        <v>Asha</v>
      </c>
      <c r="D425" t="str">
        <f>IF(TRIM(Raw_Data!D425)="Bangalore","Bengaluru",IF(TRIM(Raw_Data!D425)="Mysore","Mysuru",IF(TRIM(Raw_Data!D425)="Cochin","Kochi",PROPER(TRIM(Raw_Data!D425)))))</f>
        <v>Delhi</v>
      </c>
      <c r="E425" t="str">
        <f>PROPER(TRIM(Raw_Data!E425))</f>
        <v>Retail Store</v>
      </c>
      <c r="F425" t="str">
        <f>PROPER(TRIM(Raw_Data!F425))</f>
        <v>Enterprise</v>
      </c>
      <c r="G425" t="str">
        <f>PROPER(TRIM(Raw_Data!G425))</f>
        <v>Monitor</v>
      </c>
      <c r="H425" t="str">
        <f>PROPER(TRIM(Raw_Data!H425))</f>
        <v>Monitor 27</v>
      </c>
      <c r="I425">
        <f>IFERROR(MAX(0,VALUE(Raw_Data!I425)),0)</f>
        <v>8</v>
      </c>
      <c r="J425" s="13">
        <f>IFERROR(VALUE(Raw_Data!J425),0)</f>
        <v>20389</v>
      </c>
      <c r="K425" s="14">
        <f>IFERROR(VALUE(Raw_Data!K425),0)</f>
        <v>0.1</v>
      </c>
      <c r="L425" t="str">
        <f>PROPER(TRIM(Raw_Data!L425))</f>
        <v>Pending</v>
      </c>
      <c r="M425" s="13">
        <f t="shared" si="48"/>
        <v>163112</v>
      </c>
      <c r="N425" s="13">
        <f t="shared" si="49"/>
        <v>16311.2</v>
      </c>
      <c r="O425" s="13">
        <f t="shared" si="50"/>
        <v>146800.8</v>
      </c>
      <c r="P425" s="13">
        <f t="shared" si="51"/>
        <v>114178.4</v>
      </c>
      <c r="Q425" s="13">
        <f t="shared" si="52"/>
        <v>32622.4</v>
      </c>
      <c r="R425" s="10">
        <f t="shared" si="53"/>
        <v>0.222222222222222</v>
      </c>
      <c r="S425" t="str">
        <f t="shared" si="54"/>
        <v>Jan-2026</v>
      </c>
      <c r="T425" t="str">
        <f t="shared" si="55"/>
        <v>OK</v>
      </c>
    </row>
    <row r="426" spans="1:20">
      <c r="A426" t="str">
        <f>TRIM(Raw_Data!A426)</f>
        <v>ORD-10425</v>
      </c>
      <c r="B426" s="12">
        <f>IFERROR(IF(ISNUMBER(Raw_Data!B426),Raw_Data!B426,DATEVALUE(Raw_Data!B426)),"")</f>
        <v>46185</v>
      </c>
      <c r="C426" t="str">
        <f>PROPER(TRIM(Raw_Data!C426))</f>
        <v>Asha</v>
      </c>
      <c r="D426" t="str">
        <f>IF(TRIM(Raw_Data!D426)="Bangalore","Bengaluru",IF(TRIM(Raw_Data!D426)="Mysore","Mysuru",IF(TRIM(Raw_Data!D426)="Cochin","Kochi",PROPER(TRIM(Raw_Data!D426)))))</f>
        <v>Mysuru</v>
      </c>
      <c r="E426" t="str">
        <f>PROPER(TRIM(Raw_Data!E426))</f>
        <v>Retail Store</v>
      </c>
      <c r="F426" t="str">
        <f>PROPER(TRIM(Raw_Data!F426))</f>
        <v>Consumer</v>
      </c>
      <c r="G426" t="str">
        <f>PROPER(TRIM(Raw_Data!G426))</f>
        <v>Laptop</v>
      </c>
      <c r="H426" t="str">
        <f>PROPER(TRIM(Raw_Data!H426))</f>
        <v>Laptop Air 13</v>
      </c>
      <c r="I426">
        <f>IFERROR(MAX(0,VALUE(Raw_Data!I426)),0)</f>
        <v>2</v>
      </c>
      <c r="J426" s="13">
        <f>IFERROR(VALUE(Raw_Data!J426),0)</f>
        <v>71857</v>
      </c>
      <c r="K426" s="14">
        <f>IFERROR(VALUE(Raw_Data!K426),0)</f>
        <v>0.1</v>
      </c>
      <c r="L426" t="str">
        <f>PROPER(TRIM(Raw_Data!L426))</f>
        <v>Cancelled</v>
      </c>
      <c r="M426" s="13">
        <f t="shared" si="48"/>
        <v>143714</v>
      </c>
      <c r="N426" s="13">
        <f t="shared" si="49"/>
        <v>14371.4</v>
      </c>
      <c r="O426" s="13">
        <f t="shared" si="50"/>
        <v>129342.6</v>
      </c>
      <c r="P426" s="13">
        <f t="shared" si="51"/>
        <v>112096.92</v>
      </c>
      <c r="Q426" s="13">
        <f t="shared" si="52"/>
        <v>17245.68</v>
      </c>
      <c r="R426" s="10">
        <f t="shared" si="53"/>
        <v>0.133333333333333</v>
      </c>
      <c r="S426" t="str">
        <f t="shared" si="54"/>
        <v>Jun-2026</v>
      </c>
      <c r="T426" t="str">
        <f t="shared" si="55"/>
        <v>OK</v>
      </c>
    </row>
    <row r="427" spans="1:20">
      <c r="A427" t="str">
        <f>TRIM(Raw_Data!A427)</f>
        <v>ORD-10426</v>
      </c>
      <c r="B427" s="12">
        <f>IFERROR(IF(ISNUMBER(Raw_Data!B427),Raw_Data!B427,DATEVALUE(Raw_Data!B427)),"")</f>
        <v>46160</v>
      </c>
      <c r="C427" t="str">
        <f>PROPER(TRIM(Raw_Data!C427))</f>
        <v>Asha</v>
      </c>
      <c r="D427" t="str">
        <f>IF(TRIM(Raw_Data!D427)="Bangalore","Bengaluru",IF(TRIM(Raw_Data!D427)="Mysore","Mysuru",IF(TRIM(Raw_Data!D427)="Cochin","Kochi",PROPER(TRIM(Raw_Data!D427)))))</f>
        <v>Pune</v>
      </c>
      <c r="E427" t="str">
        <f>PROPER(TRIM(Raw_Data!E427))</f>
        <v>Corporate</v>
      </c>
      <c r="F427" t="str">
        <f>PROPER(TRIM(Raw_Data!F427))</f>
        <v>Enterprise</v>
      </c>
      <c r="G427" t="str">
        <f>PROPER(TRIM(Raw_Data!G427))</f>
        <v>Mouse</v>
      </c>
      <c r="H427" t="str">
        <f>PROPER(TRIM(Raw_Data!H427))</f>
        <v>Mouse Basic</v>
      </c>
      <c r="I427">
        <f>IFERROR(MAX(0,VALUE(Raw_Data!I427)),0)</f>
        <v>4</v>
      </c>
      <c r="J427" s="13">
        <f>IFERROR(VALUE(Raw_Data!J427),0)</f>
        <v>2057</v>
      </c>
      <c r="K427" s="14">
        <f>IFERROR(VALUE(Raw_Data!K427),0)</f>
        <v>0.1</v>
      </c>
      <c r="L427" t="str">
        <f>PROPER(TRIM(Raw_Data!L427))</f>
        <v>Returned</v>
      </c>
      <c r="M427" s="13">
        <f t="shared" si="48"/>
        <v>8228</v>
      </c>
      <c r="N427" s="13">
        <f t="shared" si="49"/>
        <v>822.8</v>
      </c>
      <c r="O427" s="13">
        <f t="shared" si="50"/>
        <v>7405.2</v>
      </c>
      <c r="P427" s="13">
        <f t="shared" si="51"/>
        <v>4525.4</v>
      </c>
      <c r="Q427" s="13">
        <f t="shared" si="52"/>
        <v>2879.8</v>
      </c>
      <c r="R427" s="10">
        <f t="shared" si="53"/>
        <v>0.388888888888889</v>
      </c>
      <c r="S427" t="str">
        <f t="shared" si="54"/>
        <v>May-2026</v>
      </c>
      <c r="T427" t="str">
        <f t="shared" si="55"/>
        <v>OK</v>
      </c>
    </row>
    <row r="428" spans="1:20">
      <c r="A428" t="str">
        <f>TRIM(Raw_Data!A428)</f>
        <v>ORD-10427</v>
      </c>
      <c r="B428" s="12">
        <f>IFERROR(IF(ISNUMBER(Raw_Data!B428),Raw_Data!B428,DATEVALUE(Raw_Data!B428)),"")</f>
        <v>46223</v>
      </c>
      <c r="C428" t="str">
        <f>PROPER(TRIM(Raw_Data!C428))</f>
        <v>Priya</v>
      </c>
      <c r="D428" t="str">
        <f>IF(TRIM(Raw_Data!D428)="Bangalore","Bengaluru",IF(TRIM(Raw_Data!D428)="Mysore","Mysuru",IF(TRIM(Raw_Data!D428)="Cochin","Kochi",PROPER(TRIM(Raw_Data!D428)))))</f>
        <v>Kochi</v>
      </c>
      <c r="E428" t="str">
        <f>PROPER(TRIM(Raw_Data!E428))</f>
        <v>Retail Store</v>
      </c>
      <c r="F428" t="str">
        <f>PROPER(TRIM(Raw_Data!F428))</f>
        <v>Consumer</v>
      </c>
      <c r="G428" t="str">
        <f>PROPER(TRIM(Raw_Data!G428))</f>
        <v>Mouse</v>
      </c>
      <c r="H428" t="str">
        <f>PROPER(TRIM(Raw_Data!H428))</f>
        <v>Mouse Basic</v>
      </c>
      <c r="I428">
        <f>IFERROR(MAX(0,VALUE(Raw_Data!I428)),0)</f>
        <v>7</v>
      </c>
      <c r="J428" s="13">
        <f>IFERROR(VALUE(Raw_Data!J428),0)</f>
        <v>1013</v>
      </c>
      <c r="K428" s="14">
        <f>IFERROR(VALUE(Raw_Data!K428),0)</f>
        <v>0</v>
      </c>
      <c r="L428" t="str">
        <f>PROPER(TRIM(Raw_Data!L428))</f>
        <v>Delivered</v>
      </c>
      <c r="M428" s="13">
        <f t="shared" si="48"/>
        <v>7091</v>
      </c>
      <c r="N428" s="13">
        <f t="shared" si="49"/>
        <v>0</v>
      </c>
      <c r="O428" s="13">
        <f t="shared" si="50"/>
        <v>7091</v>
      </c>
      <c r="P428" s="13">
        <f t="shared" si="51"/>
        <v>3900.05</v>
      </c>
      <c r="Q428" s="13">
        <f t="shared" si="52"/>
        <v>3190.95</v>
      </c>
      <c r="R428" s="10">
        <f t="shared" si="53"/>
        <v>0.45</v>
      </c>
      <c r="S428" t="str">
        <f t="shared" si="54"/>
        <v>Jul-2026</v>
      </c>
      <c r="T428" t="str">
        <f t="shared" si="55"/>
        <v>OK</v>
      </c>
    </row>
    <row r="429" spans="1:20">
      <c r="A429" t="str">
        <f>TRIM(Raw_Data!A429)</f>
        <v>ORD-10428</v>
      </c>
      <c r="B429" s="12">
        <f>IFERROR(IF(ISNUMBER(Raw_Data!B429),Raw_Data!B429,DATEVALUE(Raw_Data!B429)),"")</f>
        <v>46119</v>
      </c>
      <c r="C429" t="str">
        <f>PROPER(TRIM(Raw_Data!C429))</f>
        <v>Kiran</v>
      </c>
      <c r="D429" t="str">
        <f>IF(TRIM(Raw_Data!D429)="Bangalore","Bengaluru",IF(TRIM(Raw_Data!D429)="Mysore","Mysuru",IF(TRIM(Raw_Data!D429)="Cochin","Kochi",PROPER(TRIM(Raw_Data!D429)))))</f>
        <v>Chennai</v>
      </c>
      <c r="E429" t="str">
        <f>PROPER(TRIM(Raw_Data!E429))</f>
        <v>Corporate</v>
      </c>
      <c r="F429" t="str">
        <f>PROPER(TRIM(Raw_Data!F429))</f>
        <v>Smb</v>
      </c>
      <c r="G429" t="str">
        <f>PROPER(TRIM(Raw_Data!G429))</f>
        <v>Keyboard</v>
      </c>
      <c r="H429" t="str">
        <f>PROPER(TRIM(Raw_Data!H429))</f>
        <v>Keyboard Mechanical</v>
      </c>
      <c r="I429">
        <f>IFERROR(MAX(0,VALUE(Raw_Data!I429)),0)</f>
        <v>4</v>
      </c>
      <c r="J429" s="13">
        <f>IFERROR(VALUE(Raw_Data!J429),0)</f>
        <v>3481</v>
      </c>
      <c r="K429" s="14">
        <f>IFERROR(VALUE(Raw_Data!K429),0)</f>
        <v>0.08</v>
      </c>
      <c r="L429" t="str">
        <f>PROPER(TRIM(Raw_Data!L429))</f>
        <v>Delivered</v>
      </c>
      <c r="M429" s="13">
        <f t="shared" si="48"/>
        <v>13924</v>
      </c>
      <c r="N429" s="13">
        <f t="shared" si="49"/>
        <v>1113.92</v>
      </c>
      <c r="O429" s="13">
        <f t="shared" si="50"/>
        <v>12810.08</v>
      </c>
      <c r="P429" s="13">
        <f t="shared" si="51"/>
        <v>8075.92</v>
      </c>
      <c r="Q429" s="13">
        <f t="shared" si="52"/>
        <v>4734.16</v>
      </c>
      <c r="R429" s="10">
        <f t="shared" si="53"/>
        <v>0.369565217391304</v>
      </c>
      <c r="S429" t="str">
        <f t="shared" si="54"/>
        <v>Apr-2026</v>
      </c>
      <c r="T429" t="str">
        <f t="shared" si="55"/>
        <v>OK</v>
      </c>
    </row>
    <row r="430" spans="1:20">
      <c r="A430" t="str">
        <f>TRIM(Raw_Data!A430)</f>
        <v>ORD-10429</v>
      </c>
      <c r="B430" s="12">
        <f>IFERROR(IF(ISNUMBER(Raw_Data!B430),Raw_Data!B430,DATEVALUE(Raw_Data!B430)),"")</f>
        <v>46044</v>
      </c>
      <c r="C430" t="str">
        <f>PROPER(TRIM(Raw_Data!C430))</f>
        <v>Meghana</v>
      </c>
      <c r="D430" t="str">
        <f>IF(TRIM(Raw_Data!D430)="Bangalore","Bengaluru",IF(TRIM(Raw_Data!D430)="Mysore","Mysuru",IF(TRIM(Raw_Data!D430)="Cochin","Kochi",PROPER(TRIM(Raw_Data!D430)))))</f>
        <v>Hyderabad</v>
      </c>
      <c r="E430" t="str">
        <f>PROPER(TRIM(Raw_Data!E430))</f>
        <v>Retail Store</v>
      </c>
      <c r="F430" t="str">
        <f>PROPER(TRIM(Raw_Data!F430))</f>
        <v>Enterprise</v>
      </c>
      <c r="G430" t="str">
        <f>PROPER(TRIM(Raw_Data!G430))</f>
        <v>Laptop</v>
      </c>
      <c r="H430" t="str">
        <f>PROPER(TRIM(Raw_Data!H430))</f>
        <v>Business Laptop 15</v>
      </c>
      <c r="I430">
        <f>IFERROR(MAX(0,VALUE(Raw_Data!I430)),0)</f>
        <v>0</v>
      </c>
      <c r="J430" s="13">
        <f>IFERROR(VALUE(Raw_Data!J430),0)</f>
        <v>58610</v>
      </c>
      <c r="K430" s="14">
        <f>IFERROR(VALUE(Raw_Data!K430),0)</f>
        <v>0.1</v>
      </c>
      <c r="L430" t="str">
        <f>PROPER(TRIM(Raw_Data!L430))</f>
        <v>Pending</v>
      </c>
      <c r="M430" s="13">
        <f t="shared" si="48"/>
        <v>0</v>
      </c>
      <c r="N430" s="13">
        <f t="shared" si="49"/>
        <v>0</v>
      </c>
      <c r="O430" s="13">
        <f t="shared" si="50"/>
        <v>0</v>
      </c>
      <c r="P430" s="13">
        <f t="shared" si="51"/>
        <v>0</v>
      </c>
      <c r="Q430" s="13">
        <f t="shared" si="52"/>
        <v>0</v>
      </c>
      <c r="R430" s="10">
        <f t="shared" si="53"/>
        <v>0</v>
      </c>
      <c r="S430" t="str">
        <f t="shared" si="54"/>
        <v>Jan-2026</v>
      </c>
      <c r="T430" t="str">
        <f t="shared" si="55"/>
        <v>CHECK</v>
      </c>
    </row>
    <row r="431" spans="1:20">
      <c r="A431" t="str">
        <f>TRIM(Raw_Data!A431)</f>
        <v>ORD-10430</v>
      </c>
      <c r="B431" s="12">
        <f>IFERROR(IF(ISNUMBER(Raw_Data!B431),Raw_Data!B431,DATEVALUE(Raw_Data!B431)),"")</f>
        <v>46103</v>
      </c>
      <c r="C431" t="str">
        <f>PROPER(TRIM(Raw_Data!C431))</f>
        <v>Priya</v>
      </c>
      <c r="D431" t="str">
        <f>IF(TRIM(Raw_Data!D431)="Bangalore","Bengaluru",IF(TRIM(Raw_Data!D431)="Mysore","Mysuru",IF(TRIM(Raw_Data!D431)="Cochin","Kochi",PROPER(TRIM(Raw_Data!D431)))))</f>
        <v>Mysuru</v>
      </c>
      <c r="E431" t="str">
        <f>PROPER(TRIM(Raw_Data!E431))</f>
        <v>Online</v>
      </c>
      <c r="F431" t="str">
        <f>PROPER(TRIM(Raw_Data!F431))</f>
        <v>Smb</v>
      </c>
      <c r="G431" t="str">
        <f>PROPER(TRIM(Raw_Data!G431))</f>
        <v>Monitor</v>
      </c>
      <c r="H431" t="str">
        <f>PROPER(TRIM(Raw_Data!H431))</f>
        <v>Monitor 27</v>
      </c>
      <c r="I431">
        <f>IFERROR(MAX(0,VALUE(Raw_Data!I431)),0)</f>
        <v>2</v>
      </c>
      <c r="J431" s="13">
        <f>IFERROR(VALUE(Raw_Data!J431),0)</f>
        <v>25856</v>
      </c>
      <c r="K431" s="14">
        <f>IFERROR(VALUE(Raw_Data!K431),0)</f>
        <v>0</v>
      </c>
      <c r="L431" t="str">
        <f>PROPER(TRIM(Raw_Data!L431))</f>
        <v>Delivered</v>
      </c>
      <c r="M431" s="13">
        <f t="shared" si="48"/>
        <v>51712</v>
      </c>
      <c r="N431" s="13">
        <f t="shared" si="49"/>
        <v>0</v>
      </c>
      <c r="O431" s="13">
        <f t="shared" si="50"/>
        <v>51712</v>
      </c>
      <c r="P431" s="13">
        <f t="shared" si="51"/>
        <v>36198.4</v>
      </c>
      <c r="Q431" s="13">
        <f t="shared" si="52"/>
        <v>15513.6</v>
      </c>
      <c r="R431" s="10">
        <f t="shared" si="53"/>
        <v>0.3</v>
      </c>
      <c r="S431" t="str">
        <f t="shared" si="54"/>
        <v>Mar-2026</v>
      </c>
      <c r="T431" t="str">
        <f t="shared" si="55"/>
        <v>OK</v>
      </c>
    </row>
    <row r="432" spans="1:20">
      <c r="A432" t="str">
        <f>TRIM(Raw_Data!A432)</f>
        <v>ORD-10431</v>
      </c>
      <c r="B432" s="12">
        <f>IFERROR(IF(ISNUMBER(Raw_Data!B432),Raw_Data!B432,DATEVALUE(Raw_Data!B432)),"")</f>
        <v>46053</v>
      </c>
      <c r="C432" t="str">
        <f>PROPER(TRIM(Raw_Data!C432))</f>
        <v>Meghana</v>
      </c>
      <c r="D432" t="str">
        <f>IF(TRIM(Raw_Data!D432)="Bangalore","Bengaluru",IF(TRIM(Raw_Data!D432)="Mysore","Mysuru",IF(TRIM(Raw_Data!D432)="Cochin","Kochi",PROPER(TRIM(Raw_Data!D432)))))</f>
        <v>Mumbai</v>
      </c>
      <c r="E432" t="str">
        <f>PROPER(TRIM(Raw_Data!E432))</f>
        <v>Retail Store</v>
      </c>
      <c r="F432" t="str">
        <f>PROPER(TRIM(Raw_Data!F432))</f>
        <v>Enterprise</v>
      </c>
      <c r="G432" t="str">
        <f>PROPER(TRIM(Raw_Data!G432))</f>
        <v>Mouse</v>
      </c>
      <c r="H432" t="str">
        <f>PROPER(TRIM(Raw_Data!H432))</f>
        <v>Mouse Ergonomic</v>
      </c>
      <c r="I432">
        <f>IFERROR(MAX(0,VALUE(Raw_Data!I432)),0)</f>
        <v>3</v>
      </c>
      <c r="J432" s="13">
        <f>IFERROR(VALUE(Raw_Data!J432),0)</f>
        <v>3009</v>
      </c>
      <c r="K432" s="14">
        <f>IFERROR(VALUE(Raw_Data!K432),0)</f>
        <v>0.02</v>
      </c>
      <c r="L432" t="str">
        <f>PROPER(TRIM(Raw_Data!L432))</f>
        <v>Delivered</v>
      </c>
      <c r="M432" s="13">
        <f t="shared" si="48"/>
        <v>9027</v>
      </c>
      <c r="N432" s="13">
        <f t="shared" si="49"/>
        <v>180.54</v>
      </c>
      <c r="O432" s="13">
        <f t="shared" si="50"/>
        <v>8846.46</v>
      </c>
      <c r="P432" s="13">
        <f t="shared" si="51"/>
        <v>4964.85</v>
      </c>
      <c r="Q432" s="13">
        <f t="shared" si="52"/>
        <v>3881.61</v>
      </c>
      <c r="R432" s="10">
        <f t="shared" si="53"/>
        <v>0.438775510204082</v>
      </c>
      <c r="S432" t="str">
        <f t="shared" si="54"/>
        <v>Jan-2026</v>
      </c>
      <c r="T432" t="str">
        <f t="shared" si="55"/>
        <v>OK</v>
      </c>
    </row>
    <row r="433" spans="1:20">
      <c r="A433" t="str">
        <f>TRIM(Raw_Data!A433)</f>
        <v>ORD-10432</v>
      </c>
      <c r="B433" s="12" t="str">
        <f>IFERROR(IF(ISNUMBER(Raw_Data!B433),Raw_Data!B433,DATEVALUE(Raw_Data!B433)),"")</f>
        <v/>
      </c>
      <c r="C433" t="str">
        <f>PROPER(TRIM(Raw_Data!C433))</f>
        <v>Neha</v>
      </c>
      <c r="D433" t="str">
        <f>IF(TRIM(Raw_Data!D433)="Bangalore","Bengaluru",IF(TRIM(Raw_Data!D433)="Mysore","Mysuru",IF(TRIM(Raw_Data!D433)="Cochin","Kochi",PROPER(TRIM(Raw_Data!D433)))))</f>
        <v>Hyderabad</v>
      </c>
      <c r="E433" t="str">
        <f>PROPER(TRIM(Raw_Data!E433))</f>
        <v>Retail Store</v>
      </c>
      <c r="F433" t="str">
        <f>PROPER(TRIM(Raw_Data!F433))</f>
        <v>Smb</v>
      </c>
      <c r="G433" t="str">
        <f>PROPER(TRIM(Raw_Data!G433))</f>
        <v>Keyboard</v>
      </c>
      <c r="H433" t="str">
        <f>PROPER(TRIM(Raw_Data!H433))</f>
        <v>Keyboard Mechanical</v>
      </c>
      <c r="I433">
        <f>IFERROR(MAX(0,VALUE(Raw_Data!I433)),0)</f>
        <v>4</v>
      </c>
      <c r="J433" s="13">
        <f>IFERROR(VALUE(Raw_Data!J433),0)</f>
        <v>1749</v>
      </c>
      <c r="K433" s="14">
        <f>IFERROR(VALUE(Raw_Data!K433),0)</f>
        <v>0.02</v>
      </c>
      <c r="L433" t="str">
        <f>PROPER(TRIM(Raw_Data!L433))</f>
        <v>Returned</v>
      </c>
      <c r="M433" s="13">
        <f t="shared" si="48"/>
        <v>6996</v>
      </c>
      <c r="N433" s="13">
        <f t="shared" si="49"/>
        <v>139.92</v>
      </c>
      <c r="O433" s="13">
        <f t="shared" si="50"/>
        <v>6856.08</v>
      </c>
      <c r="P433" s="13">
        <f t="shared" si="51"/>
        <v>4057.68</v>
      </c>
      <c r="Q433" s="13">
        <f t="shared" si="52"/>
        <v>2798.4</v>
      </c>
      <c r="R433" s="10">
        <f t="shared" si="53"/>
        <v>0.408163265306122</v>
      </c>
      <c r="S433" t="str">
        <f t="shared" si="54"/>
        <v/>
      </c>
      <c r="T433" t="str">
        <f t="shared" si="55"/>
        <v>CHECK</v>
      </c>
    </row>
    <row r="434" spans="1:20">
      <c r="A434" t="str">
        <f>TRIM(Raw_Data!A434)</f>
        <v>ORD-10433</v>
      </c>
      <c r="B434" s="12">
        <f>IFERROR(IF(ISNUMBER(Raw_Data!B434),Raw_Data!B434,DATEVALUE(Raw_Data!B434)),"")</f>
        <v>46117</v>
      </c>
      <c r="C434" t="str">
        <f>PROPER(TRIM(Raw_Data!C434))</f>
        <v>Priya</v>
      </c>
      <c r="D434" t="str">
        <f>IF(TRIM(Raw_Data!D434)="Bangalore","Bengaluru",IF(TRIM(Raw_Data!D434)="Mysore","Mysuru",IF(TRIM(Raw_Data!D434)="Cochin","Kochi",PROPER(TRIM(Raw_Data!D434)))))</f>
        <v>Mumbai</v>
      </c>
      <c r="E434" t="str">
        <f>PROPER(TRIM(Raw_Data!E434))</f>
        <v>Corporate</v>
      </c>
      <c r="F434" t="str">
        <f>PROPER(TRIM(Raw_Data!F434))</f>
        <v>Enterprise</v>
      </c>
      <c r="G434" t="str">
        <f>PROPER(TRIM(Raw_Data!G434))</f>
        <v>Headset</v>
      </c>
      <c r="H434" t="str">
        <f>PROPER(TRIM(Raw_Data!H434))</f>
        <v>Headset Wireless</v>
      </c>
      <c r="I434">
        <f>IFERROR(MAX(0,VALUE(Raw_Data!I434)),0)</f>
        <v>3</v>
      </c>
      <c r="J434" s="13">
        <f>IFERROR(VALUE(Raw_Data!J434),0)</f>
        <v>0</v>
      </c>
      <c r="K434" s="14">
        <f>IFERROR(VALUE(Raw_Data!K434),0)</f>
        <v>0</v>
      </c>
      <c r="L434" t="str">
        <f>PROPER(TRIM(Raw_Data!L434))</f>
        <v>Returned</v>
      </c>
      <c r="M434" s="13">
        <f t="shared" si="48"/>
        <v>0</v>
      </c>
      <c r="N434" s="13">
        <f t="shared" si="49"/>
        <v>0</v>
      </c>
      <c r="O434" s="13">
        <f t="shared" si="50"/>
        <v>0</v>
      </c>
      <c r="P434" s="13">
        <f t="shared" si="51"/>
        <v>0</v>
      </c>
      <c r="Q434" s="13">
        <f t="shared" si="52"/>
        <v>0</v>
      </c>
      <c r="R434" s="10">
        <f t="shared" si="53"/>
        <v>0</v>
      </c>
      <c r="S434" t="str">
        <f t="shared" si="54"/>
        <v>Apr-2026</v>
      </c>
      <c r="T434" t="str">
        <f t="shared" si="55"/>
        <v>CHECK</v>
      </c>
    </row>
    <row r="435" spans="1:20">
      <c r="A435" t="str">
        <f>TRIM(Raw_Data!A435)</f>
        <v>ORD-10434</v>
      </c>
      <c r="B435" s="12">
        <f>IFERROR(IF(ISNUMBER(Raw_Data!B435),Raw_Data!B435,DATEVALUE(Raw_Data!B435)),"")</f>
        <v>46078</v>
      </c>
      <c r="C435" t="str">
        <f>PROPER(TRIM(Raw_Data!C435))</f>
        <v>Neha</v>
      </c>
      <c r="D435" t="str">
        <f>IF(TRIM(Raw_Data!D435)="Bangalore","Bengaluru",IF(TRIM(Raw_Data!D435)="Mysore","Mysuru",IF(TRIM(Raw_Data!D435)="Cochin","Kochi",PROPER(TRIM(Raw_Data!D435)))))</f>
        <v>Hydrabad</v>
      </c>
      <c r="E435" t="str">
        <f>PROPER(TRIM(Raw_Data!E435))</f>
        <v>Retail Store</v>
      </c>
      <c r="F435" t="str">
        <f>PROPER(TRIM(Raw_Data!F435))</f>
        <v>Smb</v>
      </c>
      <c r="G435" t="str">
        <f>PROPER(TRIM(Raw_Data!G435))</f>
        <v>Laptop</v>
      </c>
      <c r="H435" t="str">
        <f>PROPER(TRIM(Raw_Data!H435))</f>
        <v>Business Laptop 15</v>
      </c>
      <c r="I435">
        <f>IFERROR(MAX(0,VALUE(Raw_Data!I435)),0)</f>
        <v>2</v>
      </c>
      <c r="J435" s="13">
        <f>IFERROR(VALUE(Raw_Data!J435),0)</f>
        <v>54393</v>
      </c>
      <c r="K435" s="14">
        <f>IFERROR(VALUE(Raw_Data!K435),0)</f>
        <v>0</v>
      </c>
      <c r="L435" t="str">
        <f>PROPER(TRIM(Raw_Data!L435))</f>
        <v>Delivered</v>
      </c>
      <c r="M435" s="13">
        <f t="shared" si="48"/>
        <v>108786</v>
      </c>
      <c r="N435" s="13">
        <f t="shared" si="49"/>
        <v>0</v>
      </c>
      <c r="O435" s="13">
        <f t="shared" si="50"/>
        <v>108786</v>
      </c>
      <c r="P435" s="13">
        <f t="shared" si="51"/>
        <v>84853.08</v>
      </c>
      <c r="Q435" s="13">
        <f t="shared" si="52"/>
        <v>23932.92</v>
      </c>
      <c r="R435" s="10">
        <f t="shared" si="53"/>
        <v>0.22</v>
      </c>
      <c r="S435" t="str">
        <f t="shared" si="54"/>
        <v>Feb-2026</v>
      </c>
      <c r="T435" t="str">
        <f t="shared" si="55"/>
        <v>OK</v>
      </c>
    </row>
    <row r="436" spans="1:20">
      <c r="A436" t="str">
        <f>TRIM(Raw_Data!A436)</f>
        <v>ORD-10435</v>
      </c>
      <c r="B436" s="12">
        <f>IFERROR(IF(ISNUMBER(Raw_Data!B436),Raw_Data!B436,DATEVALUE(Raw_Data!B436)),"")</f>
        <v>46238</v>
      </c>
      <c r="C436" t="str">
        <f>PROPER(TRIM(Raw_Data!C436))</f>
        <v>Kiran</v>
      </c>
      <c r="D436" t="str">
        <f>IF(TRIM(Raw_Data!D436)="Bangalore","Bengaluru",IF(TRIM(Raw_Data!D436)="Mysore","Mysuru",IF(TRIM(Raw_Data!D436)="Cochin","Kochi",PROPER(TRIM(Raw_Data!D436)))))</f>
        <v>Mumbai</v>
      </c>
      <c r="E436" t="str">
        <f>PROPER(TRIM(Raw_Data!E436))</f>
        <v>Retail Store</v>
      </c>
      <c r="F436" t="str">
        <f>PROPER(TRIM(Raw_Data!F436))</f>
        <v>Consumer</v>
      </c>
      <c r="G436" t="str">
        <f>PROPER(TRIM(Raw_Data!G436))</f>
        <v>Monitor</v>
      </c>
      <c r="H436" t="str">
        <f>PROPER(TRIM(Raw_Data!H436))</f>
        <v>Monitor 24</v>
      </c>
      <c r="I436">
        <f>IFERROR(MAX(0,VALUE(Raw_Data!I436)),0)</f>
        <v>5</v>
      </c>
      <c r="J436" s="13">
        <f>IFERROR(VALUE(Raw_Data!J436),0)</f>
        <v>23327</v>
      </c>
      <c r="K436" s="14">
        <f>IFERROR(VALUE(Raw_Data!K436),0)</f>
        <v>0.15</v>
      </c>
      <c r="L436" t="str">
        <f>PROPER(TRIM(Raw_Data!L436))</f>
        <v>Delivered</v>
      </c>
      <c r="M436" s="13">
        <f t="shared" si="48"/>
        <v>116635</v>
      </c>
      <c r="N436" s="13">
        <f t="shared" si="49"/>
        <v>17495.25</v>
      </c>
      <c r="O436" s="13">
        <f t="shared" si="50"/>
        <v>99139.75</v>
      </c>
      <c r="P436" s="13">
        <f t="shared" si="51"/>
        <v>81644.5</v>
      </c>
      <c r="Q436" s="13">
        <f t="shared" si="52"/>
        <v>17495.25</v>
      </c>
      <c r="R436" s="10">
        <f t="shared" si="53"/>
        <v>0.176470588235294</v>
      </c>
      <c r="S436" t="str">
        <f t="shared" si="54"/>
        <v>Aug-2026</v>
      </c>
      <c r="T436" t="str">
        <f t="shared" si="55"/>
        <v>OK</v>
      </c>
    </row>
    <row r="437" spans="1:20">
      <c r="A437" t="str">
        <f>TRIM(Raw_Data!A437)</f>
        <v>ORD-10436</v>
      </c>
      <c r="B437" s="12">
        <f>IFERROR(IF(ISNUMBER(Raw_Data!B437),Raw_Data!B437,DATEVALUE(Raw_Data!B437)),"")</f>
        <v>46025</v>
      </c>
      <c r="C437" t="str">
        <f>PROPER(TRIM(Raw_Data!C437))</f>
        <v>Asha</v>
      </c>
      <c r="D437" t="str">
        <f>IF(TRIM(Raw_Data!D437)="Bangalore","Bengaluru",IF(TRIM(Raw_Data!D437)="Mysore","Mysuru",IF(TRIM(Raw_Data!D437)="Cochin","Kochi",PROPER(TRIM(Raw_Data!D437)))))</f>
        <v>Delhi</v>
      </c>
      <c r="E437" t="str">
        <f>PROPER(TRIM(Raw_Data!E437))</f>
        <v>Retail Store</v>
      </c>
      <c r="F437" t="str">
        <f>PROPER(TRIM(Raw_Data!F437))</f>
        <v>Enterprise</v>
      </c>
      <c r="G437" t="str">
        <f>PROPER(TRIM(Raw_Data!G437))</f>
        <v>Monitor</v>
      </c>
      <c r="H437" t="str">
        <f>PROPER(TRIM(Raw_Data!H437))</f>
        <v>Monitor 27</v>
      </c>
      <c r="I437">
        <f>IFERROR(MAX(0,VALUE(Raw_Data!I437)),0)</f>
        <v>6</v>
      </c>
      <c r="J437" s="13">
        <f>IFERROR(VALUE(Raw_Data!J437),0)</f>
        <v>15386</v>
      </c>
      <c r="K437" s="14">
        <f>IFERROR(VALUE(Raw_Data!K437),0)</f>
        <v>0</v>
      </c>
      <c r="L437" t="str">
        <f>PROPER(TRIM(Raw_Data!L437))</f>
        <v>Delivered</v>
      </c>
      <c r="M437" s="13">
        <f t="shared" si="48"/>
        <v>92316</v>
      </c>
      <c r="N437" s="13">
        <f t="shared" si="49"/>
        <v>0</v>
      </c>
      <c r="O437" s="13">
        <f t="shared" si="50"/>
        <v>92316</v>
      </c>
      <c r="P437" s="13">
        <f t="shared" si="51"/>
        <v>64621.2</v>
      </c>
      <c r="Q437" s="13">
        <f t="shared" si="52"/>
        <v>27694.8</v>
      </c>
      <c r="R437" s="10">
        <f t="shared" si="53"/>
        <v>0.3</v>
      </c>
      <c r="S437" t="str">
        <f t="shared" si="54"/>
        <v>Jan-2026</v>
      </c>
      <c r="T437" t="str">
        <f t="shared" si="55"/>
        <v>OK</v>
      </c>
    </row>
    <row r="438" spans="1:20">
      <c r="A438" t="str">
        <f>TRIM(Raw_Data!A438)</f>
        <v>ORD-10437</v>
      </c>
      <c r="B438" s="12">
        <f>IFERROR(IF(ISNUMBER(Raw_Data!B438),Raw_Data!B438,DATEVALUE(Raw_Data!B438)),"")</f>
        <v>46139</v>
      </c>
      <c r="C438" t="str">
        <f>PROPER(TRIM(Raw_Data!C438))</f>
        <v>Priya</v>
      </c>
      <c r="D438" t="str">
        <f>IF(TRIM(Raw_Data!D438)="Bangalore","Bengaluru",IF(TRIM(Raw_Data!D438)="Mysore","Mysuru",IF(TRIM(Raw_Data!D438)="Cochin","Kochi",PROPER(TRIM(Raw_Data!D438)))))</f>
        <v>Mysuru</v>
      </c>
      <c r="E438" t="str">
        <f>PROPER(TRIM(Raw_Data!E438))</f>
        <v>Online</v>
      </c>
      <c r="F438" t="str">
        <f>PROPER(TRIM(Raw_Data!F438))</f>
        <v>Consumer</v>
      </c>
      <c r="G438" t="str">
        <f>PROPER(TRIM(Raw_Data!G438))</f>
        <v>Mouse</v>
      </c>
      <c r="H438" t="str">
        <f>PROPER(TRIM(Raw_Data!H438))</f>
        <v>Mouse Wireless</v>
      </c>
      <c r="I438">
        <f>IFERROR(MAX(0,VALUE(Raw_Data!I438)),0)</f>
        <v>3</v>
      </c>
      <c r="J438" s="13">
        <f>IFERROR(VALUE(Raw_Data!J438),0)</f>
        <v>2213</v>
      </c>
      <c r="K438" s="14">
        <f>IFERROR(VALUE(Raw_Data!K438),0)</f>
        <v>0.15</v>
      </c>
      <c r="L438" t="str">
        <f>PROPER(TRIM(Raw_Data!L438))</f>
        <v>Returned</v>
      </c>
      <c r="M438" s="13">
        <f t="shared" si="48"/>
        <v>6639</v>
      </c>
      <c r="N438" s="13">
        <f t="shared" si="49"/>
        <v>995.85</v>
      </c>
      <c r="O438" s="13">
        <f t="shared" si="50"/>
        <v>5643.15</v>
      </c>
      <c r="P438" s="13">
        <f t="shared" si="51"/>
        <v>3651.45</v>
      </c>
      <c r="Q438" s="13">
        <f t="shared" si="52"/>
        <v>1991.7</v>
      </c>
      <c r="R438" s="10">
        <f t="shared" si="53"/>
        <v>0.352941176470588</v>
      </c>
      <c r="S438" t="str">
        <f t="shared" si="54"/>
        <v>Apr-2026</v>
      </c>
      <c r="T438" t="str">
        <f t="shared" si="55"/>
        <v>OK</v>
      </c>
    </row>
    <row r="439" spans="1:20">
      <c r="A439" t="str">
        <f>TRIM(Raw_Data!A439)</f>
        <v>ORD-10438</v>
      </c>
      <c r="B439" s="12">
        <f>IFERROR(IF(ISNUMBER(Raw_Data!B439),Raw_Data!B439,DATEVALUE(Raw_Data!B439)),"")</f>
        <v>46240</v>
      </c>
      <c r="C439" t="str">
        <f>PROPER(TRIM(Raw_Data!C439))</f>
        <v>Ravi</v>
      </c>
      <c r="D439" t="str">
        <f>IF(TRIM(Raw_Data!D439)="Bangalore","Bengaluru",IF(TRIM(Raw_Data!D439)="Mysore","Mysuru",IF(TRIM(Raw_Data!D439)="Cochin","Kochi",PROPER(TRIM(Raw_Data!D439)))))</f>
        <v>Hyderabad</v>
      </c>
      <c r="E439" t="str">
        <f>PROPER(TRIM(Raw_Data!E439))</f>
        <v>Online</v>
      </c>
      <c r="F439" t="str">
        <f>PROPER(TRIM(Raw_Data!F439))</f>
        <v>Smb</v>
      </c>
      <c r="G439" t="str">
        <f>PROPER(TRIM(Raw_Data!G439))</f>
        <v>Keyboard</v>
      </c>
      <c r="H439" t="str">
        <f>PROPER(TRIM(Raw_Data!H439))</f>
        <v>Keyboard Office</v>
      </c>
      <c r="I439">
        <f>IFERROR(MAX(0,VALUE(Raw_Data!I439)),0)</f>
        <v>7</v>
      </c>
      <c r="J439" s="13">
        <f>IFERROR(VALUE(Raw_Data!J439),0)</f>
        <v>5429</v>
      </c>
      <c r="K439" s="14">
        <f>IFERROR(VALUE(Raw_Data!K439),0)</f>
        <v>0</v>
      </c>
      <c r="L439" t="str">
        <f>PROPER(TRIM(Raw_Data!L439))</f>
        <v>Returned</v>
      </c>
      <c r="M439" s="13">
        <f t="shared" si="48"/>
        <v>38003</v>
      </c>
      <c r="N439" s="13">
        <f t="shared" si="49"/>
        <v>0</v>
      </c>
      <c r="O439" s="13">
        <f t="shared" si="50"/>
        <v>38003</v>
      </c>
      <c r="P439" s="13">
        <f t="shared" si="51"/>
        <v>22041.74</v>
      </c>
      <c r="Q439" s="13">
        <f t="shared" si="52"/>
        <v>15961.26</v>
      </c>
      <c r="R439" s="10">
        <f t="shared" si="53"/>
        <v>0.42</v>
      </c>
      <c r="S439" t="str">
        <f t="shared" si="54"/>
        <v>Aug-2026</v>
      </c>
      <c r="T439" t="str">
        <f t="shared" si="55"/>
        <v>OK</v>
      </c>
    </row>
    <row r="440" spans="1:20">
      <c r="A440" t="str">
        <f>TRIM(Raw_Data!A440)</f>
        <v>ORD-10439</v>
      </c>
      <c r="B440" s="12">
        <f>IFERROR(IF(ISNUMBER(Raw_Data!B440),Raw_Data!B440,DATEVALUE(Raw_Data!B440)),"")</f>
        <v>46093</v>
      </c>
      <c r="C440" t="str">
        <f>PROPER(TRIM(Raw_Data!C440))</f>
        <v>Ravi</v>
      </c>
      <c r="D440" t="str">
        <f>IF(TRIM(Raw_Data!D440)="Bangalore","Bengaluru",IF(TRIM(Raw_Data!D440)="Mysore","Mysuru",IF(TRIM(Raw_Data!D440)="Cochin","Kochi",PROPER(TRIM(Raw_Data!D440)))))</f>
        <v>Chennai</v>
      </c>
      <c r="E440" t="str">
        <f>PROPER(TRIM(Raw_Data!E440))</f>
        <v>Online</v>
      </c>
      <c r="F440" t="str">
        <f>PROPER(TRIM(Raw_Data!F440))</f>
        <v>Smb</v>
      </c>
      <c r="G440" t="str">
        <f>PROPER(TRIM(Raw_Data!G440))</f>
        <v>Headset</v>
      </c>
      <c r="H440" t="str">
        <f>PROPER(TRIM(Raw_Data!H440))</f>
        <v>Headset Wireless</v>
      </c>
      <c r="I440">
        <f>IFERROR(MAX(0,VALUE(Raw_Data!I440)),0)</f>
        <v>2</v>
      </c>
      <c r="J440" s="13">
        <f>IFERROR(VALUE(Raw_Data!J440),0)</f>
        <v>5292</v>
      </c>
      <c r="K440" s="14">
        <f>IFERROR(VALUE(Raw_Data!K440),0)</f>
        <v>0</v>
      </c>
      <c r="L440" t="str">
        <f>PROPER(TRIM(Raw_Data!L440))</f>
        <v>Delivered</v>
      </c>
      <c r="M440" s="13">
        <f t="shared" si="48"/>
        <v>10584</v>
      </c>
      <c r="N440" s="13">
        <f t="shared" si="49"/>
        <v>0</v>
      </c>
      <c r="O440" s="13">
        <f t="shared" si="50"/>
        <v>10584</v>
      </c>
      <c r="P440" s="13">
        <f t="shared" si="51"/>
        <v>6350.4</v>
      </c>
      <c r="Q440" s="13">
        <f t="shared" si="52"/>
        <v>4233.6</v>
      </c>
      <c r="R440" s="10">
        <f t="shared" si="53"/>
        <v>0.4</v>
      </c>
      <c r="S440" t="str">
        <f t="shared" si="54"/>
        <v>Mar-2026</v>
      </c>
      <c r="T440" t="str">
        <f t="shared" si="55"/>
        <v>OK</v>
      </c>
    </row>
    <row r="441" spans="1:20">
      <c r="A441" t="str">
        <f>TRIM(Raw_Data!A441)</f>
        <v>ORD-10440</v>
      </c>
      <c r="B441" s="12">
        <f>IFERROR(IF(ISNUMBER(Raw_Data!B441),Raw_Data!B441,DATEVALUE(Raw_Data!B441)),"")</f>
        <v>46214</v>
      </c>
      <c r="C441" t="str">
        <f>PROPER(TRIM(Raw_Data!C441))</f>
        <v>Bhoomika</v>
      </c>
      <c r="D441" t="str">
        <f>IF(TRIM(Raw_Data!D441)="Bangalore","Bengaluru",IF(TRIM(Raw_Data!D441)="Mysore","Mysuru",IF(TRIM(Raw_Data!D441)="Cochin","Kochi",PROPER(TRIM(Raw_Data!D441)))))</f>
        <v>Bengaluru</v>
      </c>
      <c r="E441" t="str">
        <f>PROPER(TRIM(Raw_Data!E441))</f>
        <v>Retail Store</v>
      </c>
      <c r="F441" t="str">
        <f>PROPER(TRIM(Raw_Data!F441))</f>
        <v>Enterprise</v>
      </c>
      <c r="G441" t="str">
        <f>PROPER(TRIM(Raw_Data!G441))</f>
        <v>Monitor</v>
      </c>
      <c r="H441" t="str">
        <f>PROPER(TRIM(Raw_Data!H441))</f>
        <v>Monitor 27</v>
      </c>
      <c r="I441">
        <f>IFERROR(MAX(0,VALUE(Raw_Data!I441)),0)</f>
        <v>6</v>
      </c>
      <c r="J441" s="13">
        <f>IFERROR(VALUE(Raw_Data!J441),0)</f>
        <v>18406</v>
      </c>
      <c r="K441" s="14">
        <f>IFERROR(VALUE(Raw_Data!K441),0)</f>
        <v>0.08</v>
      </c>
      <c r="L441" t="str">
        <f>PROPER(TRIM(Raw_Data!L441))</f>
        <v>Delivered</v>
      </c>
      <c r="M441" s="13">
        <f t="shared" si="48"/>
        <v>110436</v>
      </c>
      <c r="N441" s="13">
        <f t="shared" si="49"/>
        <v>8834.88</v>
      </c>
      <c r="O441" s="13">
        <f t="shared" si="50"/>
        <v>101601.12</v>
      </c>
      <c r="P441" s="13">
        <f t="shared" si="51"/>
        <v>77305.2</v>
      </c>
      <c r="Q441" s="13">
        <f t="shared" si="52"/>
        <v>24295.92</v>
      </c>
      <c r="R441" s="10">
        <f t="shared" si="53"/>
        <v>0.239130434782609</v>
      </c>
      <c r="S441" t="str">
        <f t="shared" si="54"/>
        <v>Jul-2026</v>
      </c>
      <c r="T441" t="str">
        <f t="shared" si="55"/>
        <v>OK</v>
      </c>
    </row>
    <row r="442" spans="1:20">
      <c r="A442" t="str">
        <f>TRIM(Raw_Data!A442)</f>
        <v>ORD-10441</v>
      </c>
      <c r="B442" s="12">
        <f>IFERROR(IF(ISNUMBER(Raw_Data!B442),Raw_Data!B442,DATEVALUE(Raw_Data!B442)),"")</f>
        <v>46236</v>
      </c>
      <c r="C442" t="str">
        <f>PROPER(TRIM(Raw_Data!C442))</f>
        <v>Bhoomika</v>
      </c>
      <c r="D442" t="str">
        <f>IF(TRIM(Raw_Data!D442)="Bangalore","Bengaluru",IF(TRIM(Raw_Data!D442)="Mysore","Mysuru",IF(TRIM(Raw_Data!D442)="Cochin","Kochi",PROPER(TRIM(Raw_Data!D442)))))</f>
        <v>Hyderabad</v>
      </c>
      <c r="E442" t="str">
        <f>PROPER(TRIM(Raw_Data!E442))</f>
        <v>Retail Store</v>
      </c>
      <c r="F442" t="str">
        <f>PROPER(TRIM(Raw_Data!F442))</f>
        <v>Enterprise</v>
      </c>
      <c r="G442" t="str">
        <f>PROPER(TRIM(Raw_Data!G442))</f>
        <v>Headset</v>
      </c>
      <c r="H442" t="str">
        <f>PROPER(TRIM(Raw_Data!H442))</f>
        <v>Headset Wireless</v>
      </c>
      <c r="I442">
        <f>IFERROR(MAX(0,VALUE(Raw_Data!I442)),0)</f>
        <v>5</v>
      </c>
      <c r="J442" s="13">
        <f>IFERROR(VALUE(Raw_Data!J442),0)</f>
        <v>4341</v>
      </c>
      <c r="K442" s="14">
        <f>IFERROR(VALUE(Raw_Data!K442),0)</f>
        <v>0.02</v>
      </c>
      <c r="L442" t="str">
        <f>PROPER(TRIM(Raw_Data!L442))</f>
        <v>Delivered</v>
      </c>
      <c r="M442" s="13">
        <f t="shared" si="48"/>
        <v>21705</v>
      </c>
      <c r="N442" s="13">
        <f t="shared" si="49"/>
        <v>434.1</v>
      </c>
      <c r="O442" s="13">
        <f t="shared" si="50"/>
        <v>21270.9</v>
      </c>
      <c r="P442" s="13">
        <f t="shared" si="51"/>
        <v>13023</v>
      </c>
      <c r="Q442" s="13">
        <f t="shared" si="52"/>
        <v>8247.9</v>
      </c>
      <c r="R442" s="10">
        <f t="shared" si="53"/>
        <v>0.387755102040816</v>
      </c>
      <c r="S442" t="str">
        <f t="shared" si="54"/>
        <v>Aug-2026</v>
      </c>
      <c r="T442" t="str">
        <f t="shared" si="55"/>
        <v>OK</v>
      </c>
    </row>
    <row r="443" spans="1:20">
      <c r="A443" t="str">
        <f>TRIM(Raw_Data!A443)</f>
        <v>ORD-10442</v>
      </c>
      <c r="B443" s="12">
        <f>IFERROR(IF(ISNUMBER(Raw_Data!B443),Raw_Data!B443,DATEVALUE(Raw_Data!B443)),"")</f>
        <v>46253</v>
      </c>
      <c r="C443" t="str">
        <f>PROPER(TRIM(Raw_Data!C443))</f>
        <v>Priya</v>
      </c>
      <c r="D443" t="str">
        <f>IF(TRIM(Raw_Data!D443)="Bangalore","Bengaluru",IF(TRIM(Raw_Data!D443)="Mysore","Mysuru",IF(TRIM(Raw_Data!D443)="Cochin","Kochi",PROPER(TRIM(Raw_Data!D443)))))</f>
        <v>Chennai</v>
      </c>
      <c r="E443" t="str">
        <f>PROPER(TRIM(Raw_Data!E443))</f>
        <v>Retail Store</v>
      </c>
      <c r="F443" t="str">
        <f>PROPER(TRIM(Raw_Data!F443))</f>
        <v>Smb</v>
      </c>
      <c r="G443" t="str">
        <f>PROPER(TRIM(Raw_Data!G443))</f>
        <v>Laptop</v>
      </c>
      <c r="H443" t="str">
        <f>PROPER(TRIM(Raw_Data!H443))</f>
        <v>Laptop Air 13</v>
      </c>
      <c r="I443">
        <f>IFERROR(MAX(0,VALUE(Raw_Data!I443)),0)</f>
        <v>6</v>
      </c>
      <c r="J443" s="13">
        <f>IFERROR(VALUE(Raw_Data!J443),0)</f>
        <v>68519</v>
      </c>
      <c r="K443" s="14">
        <f>IFERROR(VALUE(Raw_Data!K443),0)</f>
        <v>0.05</v>
      </c>
      <c r="L443" t="str">
        <f>PROPER(TRIM(Raw_Data!L443))</f>
        <v>Returned</v>
      </c>
      <c r="M443" s="13">
        <f t="shared" si="48"/>
        <v>411114</v>
      </c>
      <c r="N443" s="13">
        <f t="shared" si="49"/>
        <v>20555.7</v>
      </c>
      <c r="O443" s="13">
        <f t="shared" si="50"/>
        <v>390558.3</v>
      </c>
      <c r="P443" s="13">
        <f t="shared" si="51"/>
        <v>320668.92</v>
      </c>
      <c r="Q443" s="13">
        <f t="shared" si="52"/>
        <v>69889.38</v>
      </c>
      <c r="R443" s="10">
        <f t="shared" si="53"/>
        <v>0.178947368421053</v>
      </c>
      <c r="S443" t="str">
        <f t="shared" si="54"/>
        <v>Aug-2026</v>
      </c>
      <c r="T443" t="str">
        <f t="shared" si="55"/>
        <v>OK</v>
      </c>
    </row>
    <row r="444" spans="1:20">
      <c r="A444" t="str">
        <f>TRIM(Raw_Data!A444)</f>
        <v>ORD-10443</v>
      </c>
      <c r="B444" s="12">
        <f>IFERROR(IF(ISNUMBER(Raw_Data!B444),Raw_Data!B444,DATEVALUE(Raw_Data!B444)),"")</f>
        <v>46146</v>
      </c>
      <c r="C444" t="str">
        <f>PROPER(TRIM(Raw_Data!C444))</f>
        <v>Priya</v>
      </c>
      <c r="D444" t="str">
        <f>IF(TRIM(Raw_Data!D444)="Bangalore","Bengaluru",IF(TRIM(Raw_Data!D444)="Mysore","Mysuru",IF(TRIM(Raw_Data!D444)="Cochin","Kochi",PROPER(TRIM(Raw_Data!D444)))))</f>
        <v>Bengaluru</v>
      </c>
      <c r="E444" t="str">
        <f>PROPER(TRIM(Raw_Data!E444))</f>
        <v>Corporate</v>
      </c>
      <c r="F444" t="str">
        <f>PROPER(TRIM(Raw_Data!F444))</f>
        <v>Consumer</v>
      </c>
      <c r="G444" t="str">
        <f>PROPER(TRIM(Raw_Data!G444))</f>
        <v>Mouse</v>
      </c>
      <c r="H444" t="str">
        <f>PROPER(TRIM(Raw_Data!H444))</f>
        <v>Mouse Ergonomic</v>
      </c>
      <c r="I444">
        <f>IFERROR(MAX(0,VALUE(Raw_Data!I444)),0)</f>
        <v>5</v>
      </c>
      <c r="J444" s="13">
        <f>IFERROR(VALUE(Raw_Data!J444),0)</f>
        <v>2424</v>
      </c>
      <c r="K444" s="14">
        <f>IFERROR(VALUE(Raw_Data!K444),0)</f>
        <v>0.1</v>
      </c>
      <c r="L444" t="str">
        <f>PROPER(TRIM(Raw_Data!L444))</f>
        <v>Pending</v>
      </c>
      <c r="M444" s="13">
        <f t="shared" si="48"/>
        <v>12120</v>
      </c>
      <c r="N444" s="13">
        <f t="shared" si="49"/>
        <v>1212</v>
      </c>
      <c r="O444" s="13">
        <f t="shared" si="50"/>
        <v>10908</v>
      </c>
      <c r="P444" s="13">
        <f t="shared" si="51"/>
        <v>6666</v>
      </c>
      <c r="Q444" s="13">
        <f t="shared" si="52"/>
        <v>4242</v>
      </c>
      <c r="R444" s="10">
        <f t="shared" si="53"/>
        <v>0.388888888888889</v>
      </c>
      <c r="S444" t="str">
        <f t="shared" si="54"/>
        <v>May-2026</v>
      </c>
      <c r="T444" t="str">
        <f t="shared" si="55"/>
        <v>OK</v>
      </c>
    </row>
    <row r="445" spans="1:20">
      <c r="A445" t="str">
        <f>TRIM(Raw_Data!A445)</f>
        <v>ORD-10444</v>
      </c>
      <c r="B445" s="12">
        <f>IFERROR(IF(ISNUMBER(Raw_Data!B445),Raw_Data!B445,DATEVALUE(Raw_Data!B445)),"")</f>
        <v>46228</v>
      </c>
      <c r="C445" t="str">
        <f>PROPER(TRIM(Raw_Data!C445))</f>
        <v>Priya</v>
      </c>
      <c r="D445" t="str">
        <f>IF(TRIM(Raw_Data!D445)="Bangalore","Bengaluru",IF(TRIM(Raw_Data!D445)="Mysore","Mysuru",IF(TRIM(Raw_Data!D445)="Cochin","Kochi",PROPER(TRIM(Raw_Data!D445)))))</f>
        <v>Kochi</v>
      </c>
      <c r="E445" t="str">
        <f>PROPER(TRIM(Raw_Data!E445))</f>
        <v>Online</v>
      </c>
      <c r="F445" t="str">
        <f>PROPER(TRIM(Raw_Data!F445))</f>
        <v>Smb</v>
      </c>
      <c r="G445" t="str">
        <f>PROPER(TRIM(Raw_Data!G445))</f>
        <v>Keyboard</v>
      </c>
      <c r="H445" t="str">
        <f>PROPER(TRIM(Raw_Data!H445))</f>
        <v>Keyboard Mechanical</v>
      </c>
      <c r="I445">
        <f>IFERROR(MAX(0,VALUE(Raw_Data!I445)),0)</f>
        <v>4</v>
      </c>
      <c r="J445" s="13">
        <f>IFERROR(VALUE(Raw_Data!J445),0)</f>
        <v>1206</v>
      </c>
      <c r="K445" s="14">
        <f>IFERROR(VALUE(Raw_Data!K445),0)</f>
        <v>0.02</v>
      </c>
      <c r="L445" t="str">
        <f>PROPER(TRIM(Raw_Data!L445))</f>
        <v>Delivered</v>
      </c>
      <c r="M445" s="13">
        <f t="shared" si="48"/>
        <v>4824</v>
      </c>
      <c r="N445" s="13">
        <f t="shared" si="49"/>
        <v>96.48</v>
      </c>
      <c r="O445" s="13">
        <f t="shared" si="50"/>
        <v>4727.52</v>
      </c>
      <c r="P445" s="13">
        <f t="shared" si="51"/>
        <v>2797.92</v>
      </c>
      <c r="Q445" s="13">
        <f t="shared" si="52"/>
        <v>1929.6</v>
      </c>
      <c r="R445" s="10">
        <f t="shared" si="53"/>
        <v>0.408163265306123</v>
      </c>
      <c r="S445" t="str">
        <f t="shared" si="54"/>
        <v>Jul-2026</v>
      </c>
      <c r="T445" t="str">
        <f t="shared" si="55"/>
        <v>OK</v>
      </c>
    </row>
    <row r="446" spans="1:20">
      <c r="A446" t="str">
        <f>TRIM(Raw_Data!A446)</f>
        <v>ORD-10445</v>
      </c>
      <c r="B446" s="12">
        <f>IFERROR(IF(ISNUMBER(Raw_Data!B446),Raw_Data!B446,DATEVALUE(Raw_Data!B446)),"")</f>
        <v>46119</v>
      </c>
      <c r="C446" t="str">
        <f>PROPER(TRIM(Raw_Data!C446))</f>
        <v>Kiran</v>
      </c>
      <c r="D446" t="str">
        <f>IF(TRIM(Raw_Data!D446)="Bangalore","Bengaluru",IF(TRIM(Raw_Data!D446)="Mysore","Mysuru",IF(TRIM(Raw_Data!D446)="Cochin","Kochi",PROPER(TRIM(Raw_Data!D446)))))</f>
        <v>Pune</v>
      </c>
      <c r="E446" t="str">
        <f>PROPER(TRIM(Raw_Data!E446))</f>
        <v>Retail Store</v>
      </c>
      <c r="F446" t="str">
        <f>PROPER(TRIM(Raw_Data!F446))</f>
        <v>Consumer</v>
      </c>
      <c r="G446" t="str">
        <f>PROPER(TRIM(Raw_Data!G446))</f>
        <v>Mouse</v>
      </c>
      <c r="H446" t="str">
        <f>PROPER(TRIM(Raw_Data!H446))</f>
        <v>Mouse Basic</v>
      </c>
      <c r="I446">
        <f>IFERROR(MAX(0,VALUE(Raw_Data!I446)),0)</f>
        <v>7</v>
      </c>
      <c r="J446" s="13">
        <f>IFERROR(VALUE(Raw_Data!J446),0)</f>
        <v>2003</v>
      </c>
      <c r="K446" s="14">
        <f>IFERROR(VALUE(Raw_Data!K446),0)</f>
        <v>0.05</v>
      </c>
      <c r="L446" t="str">
        <f>PROPER(TRIM(Raw_Data!L446))</f>
        <v>Delivered</v>
      </c>
      <c r="M446" s="13">
        <f t="shared" si="48"/>
        <v>14021</v>
      </c>
      <c r="N446" s="13">
        <f t="shared" si="49"/>
        <v>701.05</v>
      </c>
      <c r="O446" s="13">
        <f t="shared" si="50"/>
        <v>13319.95</v>
      </c>
      <c r="P446" s="13">
        <f t="shared" si="51"/>
        <v>7711.55</v>
      </c>
      <c r="Q446" s="13">
        <f t="shared" si="52"/>
        <v>5608.4</v>
      </c>
      <c r="R446" s="10">
        <f t="shared" si="53"/>
        <v>0.421052631578947</v>
      </c>
      <c r="S446" t="str">
        <f t="shared" si="54"/>
        <v>Apr-2026</v>
      </c>
      <c r="T446" t="str">
        <f t="shared" si="55"/>
        <v>OK</v>
      </c>
    </row>
    <row r="447" spans="1:20">
      <c r="A447" t="str">
        <f>TRIM(Raw_Data!A447)</f>
        <v>ORD-10446</v>
      </c>
      <c r="B447" s="12">
        <f>IFERROR(IF(ISNUMBER(Raw_Data!B447),Raw_Data!B447,DATEVALUE(Raw_Data!B447)),"")</f>
        <v>46215</v>
      </c>
      <c r="C447" t="str">
        <f>PROPER(TRIM(Raw_Data!C447))</f>
        <v>Priya</v>
      </c>
      <c r="D447" t="str">
        <f>IF(TRIM(Raw_Data!D447)="Bangalore","Bengaluru",IF(TRIM(Raw_Data!D447)="Mysore","Mysuru",IF(TRIM(Raw_Data!D447)="Cochin","Kochi",PROPER(TRIM(Raw_Data!D447)))))</f>
        <v>Pune</v>
      </c>
      <c r="E447" t="str">
        <f>PROPER(TRIM(Raw_Data!E447))</f>
        <v>Retail Store</v>
      </c>
      <c r="F447" t="str">
        <f>PROPER(TRIM(Raw_Data!F447))</f>
        <v>Enterprise</v>
      </c>
      <c r="G447" t="str">
        <f>PROPER(TRIM(Raw_Data!G447))</f>
        <v>Mouse</v>
      </c>
      <c r="H447" t="str">
        <f>PROPER(TRIM(Raw_Data!H447))</f>
        <v>Mouse Wireless</v>
      </c>
      <c r="I447">
        <f>IFERROR(MAX(0,VALUE(Raw_Data!I447)),0)</f>
        <v>5</v>
      </c>
      <c r="J447" s="13">
        <f>IFERROR(VALUE(Raw_Data!J447),0)</f>
        <v>881</v>
      </c>
      <c r="K447" s="14">
        <f>IFERROR(VALUE(Raw_Data!K447),0)</f>
        <v>0.08</v>
      </c>
      <c r="L447" t="str">
        <f>PROPER(TRIM(Raw_Data!L447))</f>
        <v>Delivered</v>
      </c>
      <c r="M447" s="13">
        <f t="shared" si="48"/>
        <v>4405</v>
      </c>
      <c r="N447" s="13">
        <f t="shared" si="49"/>
        <v>352.4</v>
      </c>
      <c r="O447" s="13">
        <f t="shared" si="50"/>
        <v>4052.6</v>
      </c>
      <c r="P447" s="13">
        <f t="shared" si="51"/>
        <v>2422.75</v>
      </c>
      <c r="Q447" s="13">
        <f t="shared" si="52"/>
        <v>1629.85</v>
      </c>
      <c r="R447" s="10">
        <f t="shared" si="53"/>
        <v>0.402173913043478</v>
      </c>
      <c r="S447" t="str">
        <f t="shared" si="54"/>
        <v>Jul-2026</v>
      </c>
      <c r="T447" t="str">
        <f t="shared" si="55"/>
        <v>OK</v>
      </c>
    </row>
    <row r="448" spans="1:20">
      <c r="A448" t="str">
        <f>TRIM(Raw_Data!A448)</f>
        <v>ORD-10447</v>
      </c>
      <c r="B448" s="12">
        <f>IFERROR(IF(ISNUMBER(Raw_Data!B448),Raw_Data!B448,DATEVALUE(Raw_Data!B448)),"")</f>
        <v>46190</v>
      </c>
      <c r="C448" t="str">
        <f>PROPER(TRIM(Raw_Data!C448))</f>
        <v>Kiran</v>
      </c>
      <c r="D448" t="str">
        <f>IF(TRIM(Raw_Data!D448)="Bangalore","Bengaluru",IF(TRIM(Raw_Data!D448)="Mysore","Mysuru",IF(TRIM(Raw_Data!D448)="Cochin","Kochi",PROPER(TRIM(Raw_Data!D448)))))</f>
        <v>Hydrabad</v>
      </c>
      <c r="E448" t="str">
        <f>PROPER(TRIM(Raw_Data!E448))</f>
        <v>Retail Store</v>
      </c>
      <c r="F448" t="str">
        <f>PROPER(TRIM(Raw_Data!F448))</f>
        <v>Consumer</v>
      </c>
      <c r="G448" t="str">
        <f>PROPER(TRIM(Raw_Data!G448))</f>
        <v>Mouse</v>
      </c>
      <c r="H448" t="str">
        <f>PROPER(TRIM(Raw_Data!H448))</f>
        <v>Mouse Wireless</v>
      </c>
      <c r="I448">
        <f>IFERROR(MAX(0,VALUE(Raw_Data!I448)),0)</f>
        <v>8</v>
      </c>
      <c r="J448" s="13">
        <f>IFERROR(VALUE(Raw_Data!J448),0)</f>
        <v>2272</v>
      </c>
      <c r="K448" s="14">
        <f>IFERROR(VALUE(Raw_Data!K448),0)</f>
        <v>0</v>
      </c>
      <c r="L448" t="str">
        <f>PROPER(TRIM(Raw_Data!L448))</f>
        <v>Pending</v>
      </c>
      <c r="M448" s="13">
        <f t="shared" si="48"/>
        <v>18176</v>
      </c>
      <c r="N448" s="13">
        <f t="shared" si="49"/>
        <v>0</v>
      </c>
      <c r="O448" s="13">
        <f t="shared" si="50"/>
        <v>18176</v>
      </c>
      <c r="P448" s="13">
        <f t="shared" si="51"/>
        <v>9996.8</v>
      </c>
      <c r="Q448" s="13">
        <f t="shared" si="52"/>
        <v>8179.2</v>
      </c>
      <c r="R448" s="10">
        <f t="shared" si="53"/>
        <v>0.45</v>
      </c>
      <c r="S448" t="str">
        <f t="shared" si="54"/>
        <v>Jun-2026</v>
      </c>
      <c r="T448" t="str">
        <f t="shared" si="55"/>
        <v>OK</v>
      </c>
    </row>
    <row r="449" spans="1:20">
      <c r="A449" t="str">
        <f>TRIM(Raw_Data!A449)</f>
        <v>ORD-10448</v>
      </c>
      <c r="B449" s="12">
        <f>IFERROR(IF(ISNUMBER(Raw_Data!B449),Raw_Data!B449,DATEVALUE(Raw_Data!B449)),"")</f>
        <v>46131</v>
      </c>
      <c r="C449" t="str">
        <f>PROPER(TRIM(Raw_Data!C449))</f>
        <v>Neha</v>
      </c>
      <c r="D449" t="str">
        <f>IF(TRIM(Raw_Data!D449)="Bangalore","Bengaluru",IF(TRIM(Raw_Data!D449)="Mysore","Mysuru",IF(TRIM(Raw_Data!D449)="Cochin","Kochi",PROPER(TRIM(Raw_Data!D449)))))</f>
        <v>Chennai</v>
      </c>
      <c r="E449" t="str">
        <f>PROPER(TRIM(Raw_Data!E449))</f>
        <v>Online</v>
      </c>
      <c r="F449" t="str">
        <f>PROPER(TRIM(Raw_Data!F449))</f>
        <v>Enterprise</v>
      </c>
      <c r="G449" t="str">
        <f>PROPER(TRIM(Raw_Data!G449))</f>
        <v>Headset</v>
      </c>
      <c r="H449" t="str">
        <f>PROPER(TRIM(Raw_Data!H449))</f>
        <v>Headset Wireless</v>
      </c>
      <c r="I449">
        <f>IFERROR(MAX(0,VALUE(Raw_Data!I449)),0)</f>
        <v>4</v>
      </c>
      <c r="J449" s="13">
        <f>IFERROR(VALUE(Raw_Data!J449),0)</f>
        <v>3612</v>
      </c>
      <c r="K449" s="14">
        <f>IFERROR(VALUE(Raw_Data!K449),0)</f>
        <v>0.1</v>
      </c>
      <c r="L449" t="str">
        <f>PROPER(TRIM(Raw_Data!L449))</f>
        <v>Cancelled</v>
      </c>
      <c r="M449" s="13">
        <f t="shared" si="48"/>
        <v>14448</v>
      </c>
      <c r="N449" s="13">
        <f t="shared" si="49"/>
        <v>1444.8</v>
      </c>
      <c r="O449" s="13">
        <f t="shared" si="50"/>
        <v>13003.2</v>
      </c>
      <c r="P449" s="13">
        <f t="shared" si="51"/>
        <v>8668.8</v>
      </c>
      <c r="Q449" s="13">
        <f t="shared" si="52"/>
        <v>4334.4</v>
      </c>
      <c r="R449" s="10">
        <f t="shared" si="53"/>
        <v>0.333333333333333</v>
      </c>
      <c r="S449" t="str">
        <f t="shared" si="54"/>
        <v>Apr-2026</v>
      </c>
      <c r="T449" t="str">
        <f t="shared" si="55"/>
        <v>OK</v>
      </c>
    </row>
    <row r="450" spans="1:20">
      <c r="A450" t="str">
        <f>TRIM(Raw_Data!A450)</f>
        <v>ORD-10449</v>
      </c>
      <c r="B450" s="12">
        <f>IFERROR(IF(ISNUMBER(Raw_Data!B450),Raw_Data!B450,DATEVALUE(Raw_Data!B450)),"")</f>
        <v>46068</v>
      </c>
      <c r="C450" t="str">
        <f>PROPER(TRIM(Raw_Data!C450))</f>
        <v>Asha</v>
      </c>
      <c r="D450" t="str">
        <f>IF(TRIM(Raw_Data!D450)="Bangalore","Bengaluru",IF(TRIM(Raw_Data!D450)="Mysore","Mysuru",IF(TRIM(Raw_Data!D450)="Cochin","Kochi",PROPER(TRIM(Raw_Data!D450)))))</f>
        <v>Kochi</v>
      </c>
      <c r="E450" t="str">
        <f>PROPER(TRIM(Raw_Data!E450))</f>
        <v>Online</v>
      </c>
      <c r="F450" t="str">
        <f>PROPER(TRIM(Raw_Data!F450))</f>
        <v>Smb</v>
      </c>
      <c r="G450" t="str">
        <f>PROPER(TRIM(Raw_Data!G450))</f>
        <v>Keyboard</v>
      </c>
      <c r="H450" t="str">
        <f>PROPER(TRIM(Raw_Data!H450))</f>
        <v>Keyboard Mechanical</v>
      </c>
      <c r="I450">
        <f>IFERROR(MAX(0,VALUE(Raw_Data!I450)),0)</f>
        <v>1</v>
      </c>
      <c r="J450" s="13">
        <f>IFERROR(VALUE(Raw_Data!J450),0)</f>
        <v>3859</v>
      </c>
      <c r="K450" s="14">
        <f>IFERROR(VALUE(Raw_Data!K450),0)</f>
        <v>0.1</v>
      </c>
      <c r="L450" t="str">
        <f>PROPER(TRIM(Raw_Data!L450))</f>
        <v>Delivered</v>
      </c>
      <c r="M450" s="13">
        <f t="shared" ref="M450:M513" si="56">I450*J450</f>
        <v>3859</v>
      </c>
      <c r="N450" s="13">
        <f t="shared" ref="N450:N513" si="57">M450*K450</f>
        <v>385.9</v>
      </c>
      <c r="O450" s="13">
        <f t="shared" ref="O450:O513" si="58">M450-N450</f>
        <v>3473.1</v>
      </c>
      <c r="P450" s="13">
        <f t="shared" ref="P450:P513" si="59">M450*IF(G450="Laptop",0.78,IF(G450="Monitor",0.7,IF(G450="Keyboard",0.58,IF(G450="Mouse",0.55,0.6))))</f>
        <v>2238.22</v>
      </c>
      <c r="Q450" s="13">
        <f t="shared" ref="Q450:Q513" si="60">O450-P450</f>
        <v>1234.88</v>
      </c>
      <c r="R450" s="10">
        <f t="shared" ref="R450:R513" si="61">IFERROR(Q450/O450,0)</f>
        <v>0.355555555555556</v>
      </c>
      <c r="S450" t="str">
        <f t="shared" ref="S450:S513" si="62">IF(B450="","",TEXT(B450,"mmm-yyyy"))</f>
        <v>Feb-2026</v>
      </c>
      <c r="T450" t="str">
        <f t="shared" ref="T450:T513" si="63">IF(OR(A450="",B450="",I450&lt;=0,J450&lt;=0,L450=""),"CHECK","OK")</f>
        <v>OK</v>
      </c>
    </row>
    <row r="451" spans="1:20">
      <c r="A451" t="str">
        <f>TRIM(Raw_Data!A451)</f>
        <v>ORD-10450</v>
      </c>
      <c r="B451" s="12">
        <f>IFERROR(IF(ISNUMBER(Raw_Data!B451),Raw_Data!B451,DATEVALUE(Raw_Data!B451)),"")</f>
        <v>46236</v>
      </c>
      <c r="C451" t="str">
        <f>PROPER(TRIM(Raw_Data!C451))</f>
        <v>Ravi</v>
      </c>
      <c r="D451" t="str">
        <f>IF(TRIM(Raw_Data!D451)="Bangalore","Bengaluru",IF(TRIM(Raw_Data!D451)="Mysore","Mysuru",IF(TRIM(Raw_Data!D451)="Cochin","Kochi",PROPER(TRIM(Raw_Data!D451)))))</f>
        <v>Mysuru</v>
      </c>
      <c r="E451" t="str">
        <f>PROPER(TRIM(Raw_Data!E451))</f>
        <v>Online</v>
      </c>
      <c r="F451" t="str">
        <f>PROPER(TRIM(Raw_Data!F451))</f>
        <v>Consumer</v>
      </c>
      <c r="G451" t="str">
        <f>PROPER(TRIM(Raw_Data!G451))</f>
        <v>Headset</v>
      </c>
      <c r="H451" t="str">
        <f>PROPER(TRIM(Raw_Data!H451))</f>
        <v>Headset Office</v>
      </c>
      <c r="I451">
        <f>IFERROR(MAX(0,VALUE(Raw_Data!I451)),0)</f>
        <v>3</v>
      </c>
      <c r="J451" s="13">
        <f>IFERROR(VALUE(Raw_Data!J451),0)</f>
        <v>1813</v>
      </c>
      <c r="K451" s="14">
        <f>IFERROR(VALUE(Raw_Data!K451),0)</f>
        <v>0.1</v>
      </c>
      <c r="L451" t="str">
        <f>PROPER(TRIM(Raw_Data!L451))</f>
        <v>Returned</v>
      </c>
      <c r="M451" s="13">
        <f t="shared" si="56"/>
        <v>5439</v>
      </c>
      <c r="N451" s="13">
        <f t="shared" si="57"/>
        <v>543.9</v>
      </c>
      <c r="O451" s="13">
        <f t="shared" si="58"/>
        <v>4895.1</v>
      </c>
      <c r="P451" s="13">
        <f t="shared" si="59"/>
        <v>3263.4</v>
      </c>
      <c r="Q451" s="13">
        <f t="shared" si="60"/>
        <v>1631.7</v>
      </c>
      <c r="R451" s="10">
        <f t="shared" si="61"/>
        <v>0.333333333333333</v>
      </c>
      <c r="S451" t="str">
        <f t="shared" si="62"/>
        <v>Aug-2026</v>
      </c>
      <c r="T451" t="str">
        <f t="shared" si="63"/>
        <v>OK</v>
      </c>
    </row>
    <row r="452" spans="1:20">
      <c r="A452" t="str">
        <f>TRIM(Raw_Data!A452)</f>
        <v>ORD-10451</v>
      </c>
      <c r="B452" s="12">
        <f>IFERROR(IF(ISNUMBER(Raw_Data!B452),Raw_Data!B452,DATEVALUE(Raw_Data!B452)),"")</f>
        <v>46052</v>
      </c>
      <c r="C452" t="str">
        <f>PROPER(TRIM(Raw_Data!C452))</f>
        <v>Priya</v>
      </c>
      <c r="D452" t="str">
        <f>IF(TRIM(Raw_Data!D452)="Bangalore","Bengaluru",IF(TRIM(Raw_Data!D452)="Mysore","Mysuru",IF(TRIM(Raw_Data!D452)="Cochin","Kochi",PROPER(TRIM(Raw_Data!D452)))))</f>
        <v>Mumbai</v>
      </c>
      <c r="E452" t="str">
        <f>PROPER(TRIM(Raw_Data!E452))</f>
        <v>Corporate</v>
      </c>
      <c r="F452" t="str">
        <f>PROPER(TRIM(Raw_Data!F452))</f>
        <v>Smb</v>
      </c>
      <c r="G452" t="str">
        <f>PROPER(TRIM(Raw_Data!G452))</f>
        <v>Monitor</v>
      </c>
      <c r="H452" t="str">
        <f>PROPER(TRIM(Raw_Data!H452))</f>
        <v>Monitor 32</v>
      </c>
      <c r="I452">
        <f>IFERROR(MAX(0,VALUE(Raw_Data!I452)),0)</f>
        <v>8</v>
      </c>
      <c r="J452" s="13">
        <f>IFERROR(VALUE(Raw_Data!J452),0)</f>
        <v>25844</v>
      </c>
      <c r="K452" s="14">
        <f>IFERROR(VALUE(Raw_Data!K452),0)</f>
        <v>0.02</v>
      </c>
      <c r="L452" t="str">
        <f>PROPER(TRIM(Raw_Data!L452))</f>
        <v>Pending</v>
      </c>
      <c r="M452" s="13">
        <f t="shared" si="56"/>
        <v>206752</v>
      </c>
      <c r="N452" s="13">
        <f t="shared" si="57"/>
        <v>4135.04</v>
      </c>
      <c r="O452" s="13">
        <f t="shared" si="58"/>
        <v>202616.96</v>
      </c>
      <c r="P452" s="13">
        <f t="shared" si="59"/>
        <v>144726.4</v>
      </c>
      <c r="Q452" s="13">
        <f t="shared" si="60"/>
        <v>57890.56</v>
      </c>
      <c r="R452" s="10">
        <f t="shared" si="61"/>
        <v>0.285714285714286</v>
      </c>
      <c r="S452" t="str">
        <f t="shared" si="62"/>
        <v>Jan-2026</v>
      </c>
      <c r="T452" t="str">
        <f t="shared" si="63"/>
        <v>OK</v>
      </c>
    </row>
    <row r="453" spans="1:20">
      <c r="A453" t="str">
        <f>TRIM(Raw_Data!A453)</f>
        <v>ORD-10452</v>
      </c>
      <c r="B453" s="12">
        <f>IFERROR(IF(ISNUMBER(Raw_Data!B453),Raw_Data!B453,DATEVALUE(Raw_Data!B453)),"")</f>
        <v>46185</v>
      </c>
      <c r="C453" t="str">
        <f>PROPER(TRIM(Raw_Data!C453))</f>
        <v>Neha</v>
      </c>
      <c r="D453" t="str">
        <f>IF(TRIM(Raw_Data!D453)="Bangalore","Bengaluru",IF(TRIM(Raw_Data!D453)="Mysore","Mysuru",IF(TRIM(Raw_Data!D453)="Cochin","Kochi",PROPER(TRIM(Raw_Data!D453)))))</f>
        <v>Pune</v>
      </c>
      <c r="E453" t="str">
        <f>PROPER(TRIM(Raw_Data!E453))</f>
        <v>Retail Store</v>
      </c>
      <c r="F453" t="str">
        <f>PROPER(TRIM(Raw_Data!F453))</f>
        <v>Enterprise</v>
      </c>
      <c r="G453" t="str">
        <f>PROPER(TRIM(Raw_Data!G453))</f>
        <v>Keyboard</v>
      </c>
      <c r="H453" t="str">
        <f>PROPER(TRIM(Raw_Data!H453))</f>
        <v>Keyboard Wireless</v>
      </c>
      <c r="I453">
        <f>IFERROR(MAX(0,VALUE(Raw_Data!I453)),0)</f>
        <v>5</v>
      </c>
      <c r="J453" s="13">
        <f>IFERROR(VALUE(Raw_Data!J453),0)</f>
        <v>3859</v>
      </c>
      <c r="K453" s="14">
        <f>IFERROR(VALUE(Raw_Data!K453),0)</f>
        <v>0.15</v>
      </c>
      <c r="L453" t="str">
        <f>PROPER(TRIM(Raw_Data!L453))</f>
        <v>Returned</v>
      </c>
      <c r="M453" s="13">
        <f t="shared" si="56"/>
        <v>19295</v>
      </c>
      <c r="N453" s="13">
        <f t="shared" si="57"/>
        <v>2894.25</v>
      </c>
      <c r="O453" s="13">
        <f t="shared" si="58"/>
        <v>16400.75</v>
      </c>
      <c r="P453" s="13">
        <f t="shared" si="59"/>
        <v>11191.1</v>
      </c>
      <c r="Q453" s="13">
        <f t="shared" si="60"/>
        <v>5209.65</v>
      </c>
      <c r="R453" s="10">
        <f t="shared" si="61"/>
        <v>0.31764705882353</v>
      </c>
      <c r="S453" t="str">
        <f t="shared" si="62"/>
        <v>Jun-2026</v>
      </c>
      <c r="T453" t="str">
        <f t="shared" si="63"/>
        <v>OK</v>
      </c>
    </row>
    <row r="454" spans="1:20">
      <c r="A454" t="str">
        <f>TRIM(Raw_Data!A454)</f>
        <v>ORD-10453</v>
      </c>
      <c r="B454" s="12">
        <f>IFERROR(IF(ISNUMBER(Raw_Data!B454),Raw_Data!B454,DATEVALUE(Raw_Data!B454)),"")</f>
        <v>46066</v>
      </c>
      <c r="C454" t="str">
        <f>PROPER(TRIM(Raw_Data!C454))</f>
        <v>Arjun</v>
      </c>
      <c r="D454" t="str">
        <f>IF(TRIM(Raw_Data!D454)="Bangalore","Bengaluru",IF(TRIM(Raw_Data!D454)="Mysore","Mysuru",IF(TRIM(Raw_Data!D454)="Cochin","Kochi",PROPER(TRIM(Raw_Data!D454)))))</f>
        <v>Kochi</v>
      </c>
      <c r="E454" t="str">
        <f>PROPER(TRIM(Raw_Data!E454))</f>
        <v>Retail Store</v>
      </c>
      <c r="F454" t="str">
        <f>PROPER(TRIM(Raw_Data!F454))</f>
        <v>Smb</v>
      </c>
      <c r="G454" t="str">
        <f>PROPER(TRIM(Raw_Data!G454))</f>
        <v>Mouse</v>
      </c>
      <c r="H454" t="str">
        <f>PROPER(TRIM(Raw_Data!H454))</f>
        <v>Mouse Ergonomic</v>
      </c>
      <c r="I454">
        <f>IFERROR(MAX(0,VALUE(Raw_Data!I454)),0)</f>
        <v>6</v>
      </c>
      <c r="J454" s="13">
        <f>IFERROR(VALUE(Raw_Data!J454),0)</f>
        <v>3286</v>
      </c>
      <c r="K454" s="14">
        <f>IFERROR(VALUE(Raw_Data!K454),0)</f>
        <v>0</v>
      </c>
      <c r="L454" t="str">
        <f>PROPER(TRIM(Raw_Data!L454))</f>
        <v>Delivered</v>
      </c>
      <c r="M454" s="13">
        <f t="shared" si="56"/>
        <v>19716</v>
      </c>
      <c r="N454" s="13">
        <f t="shared" si="57"/>
        <v>0</v>
      </c>
      <c r="O454" s="13">
        <f t="shared" si="58"/>
        <v>19716</v>
      </c>
      <c r="P454" s="13">
        <f t="shared" si="59"/>
        <v>10843.8</v>
      </c>
      <c r="Q454" s="13">
        <f t="shared" si="60"/>
        <v>8872.2</v>
      </c>
      <c r="R454" s="10">
        <f t="shared" si="61"/>
        <v>0.45</v>
      </c>
      <c r="S454" t="str">
        <f t="shared" si="62"/>
        <v>Feb-2026</v>
      </c>
      <c r="T454" t="str">
        <f t="shared" si="63"/>
        <v>OK</v>
      </c>
    </row>
    <row r="455" spans="1:20">
      <c r="A455" t="str">
        <f>TRIM(Raw_Data!A455)</f>
        <v>ORD-10454</v>
      </c>
      <c r="B455" s="12">
        <f>IFERROR(IF(ISNUMBER(Raw_Data!B455),Raw_Data!B455,DATEVALUE(Raw_Data!B455)),"")</f>
        <v>46083</v>
      </c>
      <c r="C455" t="str">
        <f>PROPER(TRIM(Raw_Data!C455))</f>
        <v>Priya</v>
      </c>
      <c r="D455" t="str">
        <f>IF(TRIM(Raw_Data!D455)="Bangalore","Bengaluru",IF(TRIM(Raw_Data!D455)="Mysore","Mysuru",IF(TRIM(Raw_Data!D455)="Cochin","Kochi",PROPER(TRIM(Raw_Data!D455)))))</f>
        <v>Hydrabad</v>
      </c>
      <c r="E455" t="str">
        <f>PROPER(TRIM(Raw_Data!E455))</f>
        <v>Retail Store</v>
      </c>
      <c r="F455" t="str">
        <f>PROPER(TRIM(Raw_Data!F455))</f>
        <v>Enterprise</v>
      </c>
      <c r="G455" t="str">
        <f>PROPER(TRIM(Raw_Data!G455))</f>
        <v>Mouse</v>
      </c>
      <c r="H455" t="str">
        <f>PROPER(TRIM(Raw_Data!H455))</f>
        <v>Mouse Basic</v>
      </c>
      <c r="I455">
        <f>IFERROR(MAX(0,VALUE(Raw_Data!I455)),0)</f>
        <v>4</v>
      </c>
      <c r="J455" s="13">
        <f>IFERROR(VALUE(Raw_Data!J455),0)</f>
        <v>2320</v>
      </c>
      <c r="K455" s="14">
        <f>IFERROR(VALUE(Raw_Data!K455),0)</f>
        <v>0</v>
      </c>
      <c r="L455" t="str">
        <f>PROPER(TRIM(Raw_Data!L455))</f>
        <v>Cancelled</v>
      </c>
      <c r="M455" s="13">
        <f t="shared" si="56"/>
        <v>9280</v>
      </c>
      <c r="N455" s="13">
        <f t="shared" si="57"/>
        <v>0</v>
      </c>
      <c r="O455" s="13">
        <f t="shared" si="58"/>
        <v>9280</v>
      </c>
      <c r="P455" s="13">
        <f t="shared" si="59"/>
        <v>5104</v>
      </c>
      <c r="Q455" s="13">
        <f t="shared" si="60"/>
        <v>4176</v>
      </c>
      <c r="R455" s="10">
        <f t="shared" si="61"/>
        <v>0.45</v>
      </c>
      <c r="S455" t="str">
        <f t="shared" si="62"/>
        <v>Mar-2026</v>
      </c>
      <c r="T455" t="str">
        <f t="shared" si="63"/>
        <v>OK</v>
      </c>
    </row>
    <row r="456" spans="1:20">
      <c r="A456" t="str">
        <f>TRIM(Raw_Data!A456)</f>
        <v>ORD-10455</v>
      </c>
      <c r="B456" s="12">
        <f>IFERROR(IF(ISNUMBER(Raw_Data!B456),Raw_Data!B456,DATEVALUE(Raw_Data!B456)),"")</f>
        <v>46185</v>
      </c>
      <c r="C456" t="str">
        <f>PROPER(TRIM(Raw_Data!C456))</f>
        <v>Asha</v>
      </c>
      <c r="D456" t="str">
        <f>IF(TRIM(Raw_Data!D456)="Bangalore","Bengaluru",IF(TRIM(Raw_Data!D456)="Mysore","Mysuru",IF(TRIM(Raw_Data!D456)="Cochin","Kochi",PROPER(TRIM(Raw_Data!D456)))))</f>
        <v>Kochi</v>
      </c>
      <c r="E456" t="str">
        <f>PROPER(TRIM(Raw_Data!E456))</f>
        <v>Retail Store</v>
      </c>
      <c r="F456" t="str">
        <f>PROPER(TRIM(Raw_Data!F456))</f>
        <v>Consumer</v>
      </c>
      <c r="G456" t="str">
        <f>PROPER(TRIM(Raw_Data!G456))</f>
        <v>Keyboard</v>
      </c>
      <c r="H456" t="str">
        <f>PROPER(TRIM(Raw_Data!H456))</f>
        <v>Keyboard Office</v>
      </c>
      <c r="I456">
        <f>IFERROR(MAX(0,VALUE(Raw_Data!I456)),0)</f>
        <v>8</v>
      </c>
      <c r="J456" s="13">
        <f>IFERROR(VALUE(Raw_Data!J456),0)</f>
        <v>5253</v>
      </c>
      <c r="K456" s="14">
        <f>IFERROR(VALUE(Raw_Data!K456),0)</f>
        <v>0.02</v>
      </c>
      <c r="L456" t="str">
        <f>PROPER(TRIM(Raw_Data!L456))</f>
        <v>Delivered</v>
      </c>
      <c r="M456" s="13">
        <f t="shared" si="56"/>
        <v>42024</v>
      </c>
      <c r="N456" s="13">
        <f t="shared" si="57"/>
        <v>840.48</v>
      </c>
      <c r="O456" s="13">
        <f t="shared" si="58"/>
        <v>41183.52</v>
      </c>
      <c r="P456" s="13">
        <f t="shared" si="59"/>
        <v>24373.92</v>
      </c>
      <c r="Q456" s="13">
        <f t="shared" si="60"/>
        <v>16809.6</v>
      </c>
      <c r="R456" s="10">
        <f t="shared" si="61"/>
        <v>0.408163265306122</v>
      </c>
      <c r="S456" t="str">
        <f t="shared" si="62"/>
        <v>Jun-2026</v>
      </c>
      <c r="T456" t="str">
        <f t="shared" si="63"/>
        <v>OK</v>
      </c>
    </row>
    <row r="457" spans="1:20">
      <c r="A457" t="str">
        <f>TRIM(Raw_Data!A457)</f>
        <v>ORD-10456</v>
      </c>
      <c r="B457" s="12">
        <f>IFERROR(IF(ISNUMBER(Raw_Data!B457),Raw_Data!B457,DATEVALUE(Raw_Data!B457)),"")</f>
        <v>46151</v>
      </c>
      <c r="C457" t="str">
        <f>PROPER(TRIM(Raw_Data!C457))</f>
        <v>Asha</v>
      </c>
      <c r="D457" t="str">
        <f>IF(TRIM(Raw_Data!D457)="Bangalore","Bengaluru",IF(TRIM(Raw_Data!D457)="Mysore","Mysuru",IF(TRIM(Raw_Data!D457)="Cochin","Kochi",PROPER(TRIM(Raw_Data!D457)))))</f>
        <v>Kochi</v>
      </c>
      <c r="E457" t="str">
        <f>PROPER(TRIM(Raw_Data!E457))</f>
        <v>Corporate</v>
      </c>
      <c r="F457" t="str">
        <f>PROPER(TRIM(Raw_Data!F457))</f>
        <v>Consumer</v>
      </c>
      <c r="G457" t="str">
        <f>PROPER(TRIM(Raw_Data!G457))</f>
        <v>Laptop</v>
      </c>
      <c r="H457" t="str">
        <f>PROPER(TRIM(Raw_Data!H457))</f>
        <v>Business Laptop 15</v>
      </c>
      <c r="I457">
        <f>IFERROR(MAX(0,VALUE(Raw_Data!I457)),0)</f>
        <v>8</v>
      </c>
      <c r="J457" s="13">
        <f>IFERROR(VALUE(Raw_Data!J457),0)</f>
        <v>46496</v>
      </c>
      <c r="K457" s="14">
        <f>IFERROR(VALUE(Raw_Data!K457),0)</f>
        <v>0.15</v>
      </c>
      <c r="L457" t="str">
        <f>PROPER(TRIM(Raw_Data!L457))</f>
        <v>Delivered</v>
      </c>
      <c r="M457" s="13">
        <f t="shared" si="56"/>
        <v>371968</v>
      </c>
      <c r="N457" s="13">
        <f t="shared" si="57"/>
        <v>55795.2</v>
      </c>
      <c r="O457" s="13">
        <f t="shared" si="58"/>
        <v>316172.8</v>
      </c>
      <c r="P457" s="13">
        <f t="shared" si="59"/>
        <v>290135.04</v>
      </c>
      <c r="Q457" s="13">
        <f t="shared" si="60"/>
        <v>26037.76</v>
      </c>
      <c r="R457" s="10">
        <f t="shared" si="61"/>
        <v>0.0823529411764704</v>
      </c>
      <c r="S457" t="str">
        <f t="shared" si="62"/>
        <v>May-2026</v>
      </c>
      <c r="T457" t="str">
        <f t="shared" si="63"/>
        <v>OK</v>
      </c>
    </row>
    <row r="458" spans="1:20">
      <c r="A458" t="str">
        <f>TRIM(Raw_Data!A458)</f>
        <v>ORD-10457</v>
      </c>
      <c r="B458" s="12">
        <f>IFERROR(IF(ISNUMBER(Raw_Data!B458),Raw_Data!B458,DATEVALUE(Raw_Data!B458)),"")</f>
        <v>46039</v>
      </c>
      <c r="C458" t="str">
        <f>PROPER(TRIM(Raw_Data!C458))</f>
        <v>Arjun</v>
      </c>
      <c r="D458" t="str">
        <f>IF(TRIM(Raw_Data!D458)="Bangalore","Bengaluru",IF(TRIM(Raw_Data!D458)="Mysore","Mysuru",IF(TRIM(Raw_Data!D458)="Cochin","Kochi",PROPER(TRIM(Raw_Data!D458)))))</f>
        <v>Mysuru</v>
      </c>
      <c r="E458" t="str">
        <f>PROPER(TRIM(Raw_Data!E458))</f>
        <v>Online</v>
      </c>
      <c r="F458" t="str">
        <f>PROPER(TRIM(Raw_Data!F458))</f>
        <v>Smb</v>
      </c>
      <c r="G458" t="str">
        <f>PROPER(TRIM(Raw_Data!G458))</f>
        <v>Laptop</v>
      </c>
      <c r="H458" t="str">
        <f>PROPER(TRIM(Raw_Data!H458))</f>
        <v>Laptop Pro 14</v>
      </c>
      <c r="I458">
        <f>IFERROR(MAX(0,VALUE(Raw_Data!I458)),0)</f>
        <v>8</v>
      </c>
      <c r="J458" s="13">
        <f>IFERROR(VALUE(Raw_Data!J458),0)</f>
        <v>75093</v>
      </c>
      <c r="K458" s="14">
        <f>IFERROR(VALUE(Raw_Data!K458),0)</f>
        <v>0.1</v>
      </c>
      <c r="L458" t="str">
        <f>PROPER(TRIM(Raw_Data!L458))</f>
        <v>Returned</v>
      </c>
      <c r="M458" s="13">
        <f t="shared" si="56"/>
        <v>600744</v>
      </c>
      <c r="N458" s="13">
        <f t="shared" si="57"/>
        <v>60074.4</v>
      </c>
      <c r="O458" s="13">
        <f t="shared" si="58"/>
        <v>540669.6</v>
      </c>
      <c r="P458" s="13">
        <f t="shared" si="59"/>
        <v>468580.32</v>
      </c>
      <c r="Q458" s="13">
        <f t="shared" si="60"/>
        <v>72089.28</v>
      </c>
      <c r="R458" s="10">
        <f t="shared" si="61"/>
        <v>0.133333333333333</v>
      </c>
      <c r="S458" t="str">
        <f t="shared" si="62"/>
        <v>Jan-2026</v>
      </c>
      <c r="T458" t="str">
        <f t="shared" si="63"/>
        <v>OK</v>
      </c>
    </row>
    <row r="459" spans="1:20">
      <c r="A459" t="str">
        <f>TRIM(Raw_Data!A459)</f>
        <v>ORD-10458</v>
      </c>
      <c r="B459" s="12">
        <f>IFERROR(IF(ISNUMBER(Raw_Data!B459),Raw_Data!B459,DATEVALUE(Raw_Data!B459)),"")</f>
        <v>46249</v>
      </c>
      <c r="C459" t="str">
        <f>PROPER(TRIM(Raw_Data!C459))</f>
        <v>Neha</v>
      </c>
      <c r="D459" t="str">
        <f>IF(TRIM(Raw_Data!D459)="Bangalore","Bengaluru",IF(TRIM(Raw_Data!D459)="Mysore","Mysuru",IF(TRIM(Raw_Data!D459)="Cochin","Kochi",PROPER(TRIM(Raw_Data!D459)))))</f>
        <v>Bengaluru</v>
      </c>
      <c r="E459" t="str">
        <f>PROPER(TRIM(Raw_Data!E459))</f>
        <v>Online</v>
      </c>
      <c r="F459" t="str">
        <f>PROPER(TRIM(Raw_Data!F459))</f>
        <v>Consumer</v>
      </c>
      <c r="G459" t="str">
        <f>PROPER(TRIM(Raw_Data!G459))</f>
        <v>Headset</v>
      </c>
      <c r="H459" t="str">
        <f>PROPER(TRIM(Raw_Data!H459))</f>
        <v>Headset Pro</v>
      </c>
      <c r="I459">
        <f>IFERROR(MAX(0,VALUE(Raw_Data!I459)),0)</f>
        <v>1</v>
      </c>
      <c r="J459" s="13">
        <f>IFERROR(VALUE(Raw_Data!J459),0)</f>
        <v>4763</v>
      </c>
      <c r="K459" s="14">
        <f>IFERROR(VALUE(Raw_Data!K459),0)</f>
        <v>0.05</v>
      </c>
      <c r="L459" t="str">
        <f>PROPER(TRIM(Raw_Data!L459))</f>
        <v>Pending</v>
      </c>
      <c r="M459" s="13">
        <f t="shared" si="56"/>
        <v>4763</v>
      </c>
      <c r="N459" s="13">
        <f t="shared" si="57"/>
        <v>238.15</v>
      </c>
      <c r="O459" s="13">
        <f t="shared" si="58"/>
        <v>4524.85</v>
      </c>
      <c r="P459" s="13">
        <f t="shared" si="59"/>
        <v>2857.8</v>
      </c>
      <c r="Q459" s="13">
        <f t="shared" si="60"/>
        <v>1667.05</v>
      </c>
      <c r="R459" s="10">
        <f t="shared" si="61"/>
        <v>0.368421052631579</v>
      </c>
      <c r="S459" t="str">
        <f t="shared" si="62"/>
        <v>Aug-2026</v>
      </c>
      <c r="T459" t="str">
        <f t="shared" si="63"/>
        <v>OK</v>
      </c>
    </row>
    <row r="460" spans="1:20">
      <c r="A460" t="str">
        <f>TRIM(Raw_Data!A460)</f>
        <v>ORD-10459</v>
      </c>
      <c r="B460" s="12">
        <f>IFERROR(IF(ISNUMBER(Raw_Data!B460),Raw_Data!B460,DATEVALUE(Raw_Data!B460)),"")</f>
        <v>46107</v>
      </c>
      <c r="C460" t="str">
        <f>PROPER(TRIM(Raw_Data!C460))</f>
        <v>Bhoomika</v>
      </c>
      <c r="D460" t="str">
        <f>IF(TRIM(Raw_Data!D460)="Bangalore","Bengaluru",IF(TRIM(Raw_Data!D460)="Mysore","Mysuru",IF(TRIM(Raw_Data!D460)="Cochin","Kochi",PROPER(TRIM(Raw_Data!D460)))))</f>
        <v>Mysuru</v>
      </c>
      <c r="E460" t="str">
        <f>PROPER(TRIM(Raw_Data!E460))</f>
        <v>Online</v>
      </c>
      <c r="F460" t="str">
        <f>PROPER(TRIM(Raw_Data!F460))</f>
        <v>Smb</v>
      </c>
      <c r="G460" t="str">
        <f>PROPER(TRIM(Raw_Data!G460))</f>
        <v>Laptop</v>
      </c>
      <c r="H460" t="str">
        <f>PROPER(TRIM(Raw_Data!H460))</f>
        <v>Laptop Air 13</v>
      </c>
      <c r="I460">
        <f>IFERROR(MAX(0,VALUE(Raw_Data!I460)),0)</f>
        <v>8</v>
      </c>
      <c r="J460" s="13">
        <f>IFERROR(VALUE(Raw_Data!J460),0)</f>
        <v>61038</v>
      </c>
      <c r="K460" s="14">
        <f>IFERROR(VALUE(Raw_Data!K460),0)</f>
        <v>0.05</v>
      </c>
      <c r="L460" t="str">
        <f>PROPER(TRIM(Raw_Data!L460))</f>
        <v>Pending</v>
      </c>
      <c r="M460" s="13">
        <f t="shared" si="56"/>
        <v>488304</v>
      </c>
      <c r="N460" s="13">
        <f t="shared" si="57"/>
        <v>24415.2</v>
      </c>
      <c r="O460" s="13">
        <f t="shared" si="58"/>
        <v>463888.8</v>
      </c>
      <c r="P460" s="13">
        <f t="shared" si="59"/>
        <v>380877.12</v>
      </c>
      <c r="Q460" s="13">
        <f t="shared" si="60"/>
        <v>83011.68</v>
      </c>
      <c r="R460" s="10">
        <f t="shared" si="61"/>
        <v>0.178947368421053</v>
      </c>
      <c r="S460" t="str">
        <f t="shared" si="62"/>
        <v>Mar-2026</v>
      </c>
      <c r="T460" t="str">
        <f t="shared" si="63"/>
        <v>OK</v>
      </c>
    </row>
    <row r="461" spans="1:20">
      <c r="A461" t="str">
        <f>TRIM(Raw_Data!A461)</f>
        <v>ORD-10460</v>
      </c>
      <c r="B461" s="12">
        <f>IFERROR(IF(ISNUMBER(Raw_Data!B461),Raw_Data!B461,DATEVALUE(Raw_Data!B461)),"")</f>
        <v>46195</v>
      </c>
      <c r="C461" t="str">
        <f>PROPER(TRIM(Raw_Data!C461))</f>
        <v>Priya</v>
      </c>
      <c r="D461" t="str">
        <f>IF(TRIM(Raw_Data!D461)="Bangalore","Bengaluru",IF(TRIM(Raw_Data!D461)="Mysore","Mysuru",IF(TRIM(Raw_Data!D461)="Cochin","Kochi",PROPER(TRIM(Raw_Data!D461)))))</f>
        <v>Hyderabad</v>
      </c>
      <c r="E461" t="str">
        <f>PROPER(TRIM(Raw_Data!E461))</f>
        <v>Corporate</v>
      </c>
      <c r="F461" t="str">
        <f>PROPER(TRIM(Raw_Data!F461))</f>
        <v>Consumer</v>
      </c>
      <c r="G461" t="str">
        <f>PROPER(TRIM(Raw_Data!G461))</f>
        <v>Keyboard</v>
      </c>
      <c r="H461" t="str">
        <f>PROPER(TRIM(Raw_Data!H461))</f>
        <v>Keyboard Wireless</v>
      </c>
      <c r="I461">
        <f>IFERROR(MAX(0,VALUE(Raw_Data!I461)),0)</f>
        <v>4</v>
      </c>
      <c r="J461" s="13">
        <f>IFERROR(VALUE(Raw_Data!J461),0)</f>
        <v>4347</v>
      </c>
      <c r="K461" s="14">
        <f>IFERROR(VALUE(Raw_Data!K461),0)</f>
        <v>0</v>
      </c>
      <c r="L461" t="str">
        <f>PROPER(TRIM(Raw_Data!L461))</f>
        <v>Delivered</v>
      </c>
      <c r="M461" s="13">
        <f t="shared" si="56"/>
        <v>17388</v>
      </c>
      <c r="N461" s="13">
        <f t="shared" si="57"/>
        <v>0</v>
      </c>
      <c r="O461" s="13">
        <f t="shared" si="58"/>
        <v>17388</v>
      </c>
      <c r="P461" s="13">
        <f t="shared" si="59"/>
        <v>10085.04</v>
      </c>
      <c r="Q461" s="13">
        <f t="shared" si="60"/>
        <v>7302.96</v>
      </c>
      <c r="R461" s="10">
        <f t="shared" si="61"/>
        <v>0.42</v>
      </c>
      <c r="S461" t="str">
        <f t="shared" si="62"/>
        <v>Jun-2026</v>
      </c>
      <c r="T461" t="str">
        <f t="shared" si="63"/>
        <v>OK</v>
      </c>
    </row>
    <row r="462" spans="1:20">
      <c r="A462" t="str">
        <f>TRIM(Raw_Data!A462)</f>
        <v>ORD-10461</v>
      </c>
      <c r="B462" s="12">
        <f>IFERROR(IF(ISNUMBER(Raw_Data!B462),Raw_Data!B462,DATEVALUE(Raw_Data!B462)),"")</f>
        <v>46188</v>
      </c>
      <c r="C462" t="str">
        <f>PROPER(TRIM(Raw_Data!C462))</f>
        <v>Meghana</v>
      </c>
      <c r="D462" t="str">
        <f>IF(TRIM(Raw_Data!D462)="Bangalore","Bengaluru",IF(TRIM(Raw_Data!D462)="Mysore","Mysuru",IF(TRIM(Raw_Data!D462)="Cochin","Kochi",PROPER(TRIM(Raw_Data!D462)))))</f>
        <v>Mysuru</v>
      </c>
      <c r="E462" t="str">
        <f>PROPER(TRIM(Raw_Data!E462))</f>
        <v>Corporate</v>
      </c>
      <c r="F462" t="str">
        <f>PROPER(TRIM(Raw_Data!F462))</f>
        <v>Consumer</v>
      </c>
      <c r="G462" t="str">
        <f>PROPER(TRIM(Raw_Data!G462))</f>
        <v>Monitor</v>
      </c>
      <c r="H462" t="str">
        <f>PROPER(TRIM(Raw_Data!H462))</f>
        <v>Monitor 32</v>
      </c>
      <c r="I462">
        <f>IFERROR(MAX(0,VALUE(Raw_Data!I462)),0)</f>
        <v>2</v>
      </c>
      <c r="J462" s="13">
        <f>IFERROR(VALUE(Raw_Data!J462),0)</f>
        <v>24859</v>
      </c>
      <c r="K462" s="14">
        <f>IFERROR(VALUE(Raw_Data!K462),0)</f>
        <v>0.05</v>
      </c>
      <c r="L462" t="str">
        <f>PROPER(TRIM(Raw_Data!L462))</f>
        <v>Delivered</v>
      </c>
      <c r="M462" s="13">
        <f t="shared" si="56"/>
        <v>49718</v>
      </c>
      <c r="N462" s="13">
        <f t="shared" si="57"/>
        <v>2485.9</v>
      </c>
      <c r="O462" s="13">
        <f t="shared" si="58"/>
        <v>47232.1</v>
      </c>
      <c r="P462" s="13">
        <f t="shared" si="59"/>
        <v>34802.6</v>
      </c>
      <c r="Q462" s="13">
        <f t="shared" si="60"/>
        <v>12429.5</v>
      </c>
      <c r="R462" s="10">
        <f t="shared" si="61"/>
        <v>0.263157894736842</v>
      </c>
      <c r="S462" t="str">
        <f t="shared" si="62"/>
        <v>Jun-2026</v>
      </c>
      <c r="T462" t="str">
        <f t="shared" si="63"/>
        <v>OK</v>
      </c>
    </row>
    <row r="463" spans="1:20">
      <c r="A463" t="str">
        <f>TRIM(Raw_Data!A463)</f>
        <v>ORD-10462</v>
      </c>
      <c r="B463" s="12">
        <f>IFERROR(IF(ISNUMBER(Raw_Data!B463),Raw_Data!B463,DATEVALUE(Raw_Data!B463)),"")</f>
        <v>46081</v>
      </c>
      <c r="C463" t="str">
        <f>PROPER(TRIM(Raw_Data!C463))</f>
        <v>Ravi</v>
      </c>
      <c r="D463" t="str">
        <f>IF(TRIM(Raw_Data!D463)="Bangalore","Bengaluru",IF(TRIM(Raw_Data!D463)="Mysore","Mysuru",IF(TRIM(Raw_Data!D463)="Cochin","Kochi",PROPER(TRIM(Raw_Data!D463)))))</f>
        <v>Bengaluru</v>
      </c>
      <c r="E463" t="str">
        <f>PROPER(TRIM(Raw_Data!E463))</f>
        <v>Corporate</v>
      </c>
      <c r="F463" t="str">
        <f>PROPER(TRIM(Raw_Data!F463))</f>
        <v>Smb</v>
      </c>
      <c r="G463" t="str">
        <f>PROPER(TRIM(Raw_Data!G463))</f>
        <v>Monitor</v>
      </c>
      <c r="H463" t="str">
        <f>PROPER(TRIM(Raw_Data!H463))</f>
        <v>Monitor 27</v>
      </c>
      <c r="I463">
        <f>IFERROR(MAX(0,VALUE(Raw_Data!I463)),0)</f>
        <v>5</v>
      </c>
      <c r="J463" s="13">
        <f>IFERROR(VALUE(Raw_Data!J463),0)</f>
        <v>12238</v>
      </c>
      <c r="K463" s="14">
        <f>IFERROR(VALUE(Raw_Data!K463),0)</f>
        <v>0.1</v>
      </c>
      <c r="L463" t="str">
        <f>PROPER(TRIM(Raw_Data!L463))</f>
        <v>Cancelled</v>
      </c>
      <c r="M463" s="13">
        <f t="shared" si="56"/>
        <v>61190</v>
      </c>
      <c r="N463" s="13">
        <f t="shared" si="57"/>
        <v>6119</v>
      </c>
      <c r="O463" s="13">
        <f t="shared" si="58"/>
        <v>55071</v>
      </c>
      <c r="P463" s="13">
        <f t="shared" si="59"/>
        <v>42833</v>
      </c>
      <c r="Q463" s="13">
        <f t="shared" si="60"/>
        <v>12238</v>
      </c>
      <c r="R463" s="10">
        <f t="shared" si="61"/>
        <v>0.222222222222222</v>
      </c>
      <c r="S463" t="str">
        <f t="shared" si="62"/>
        <v>Feb-2026</v>
      </c>
      <c r="T463" t="str">
        <f t="shared" si="63"/>
        <v>OK</v>
      </c>
    </row>
    <row r="464" spans="1:20">
      <c r="A464" t="str">
        <f>TRIM(Raw_Data!A464)</f>
        <v>ORD-10463</v>
      </c>
      <c r="B464" s="12">
        <f>IFERROR(IF(ISNUMBER(Raw_Data!B464),Raw_Data!B464,DATEVALUE(Raw_Data!B464)),"")</f>
        <v>46164</v>
      </c>
      <c r="C464" t="str">
        <f>PROPER(TRIM(Raw_Data!C464))</f>
        <v>Neha</v>
      </c>
      <c r="D464" t="str">
        <f>IF(TRIM(Raw_Data!D464)="Bangalore","Bengaluru",IF(TRIM(Raw_Data!D464)="Mysore","Mysuru",IF(TRIM(Raw_Data!D464)="Cochin","Kochi",PROPER(TRIM(Raw_Data!D464)))))</f>
        <v>Pune</v>
      </c>
      <c r="E464" t="str">
        <f>PROPER(TRIM(Raw_Data!E464))</f>
        <v>Online</v>
      </c>
      <c r="F464" t="str">
        <f>PROPER(TRIM(Raw_Data!F464))</f>
        <v>Consumer</v>
      </c>
      <c r="G464" t="str">
        <f>PROPER(TRIM(Raw_Data!G464))</f>
        <v>Keyboard</v>
      </c>
      <c r="H464" t="str">
        <f>PROPER(TRIM(Raw_Data!H464))</f>
        <v>Keyboard Wireless</v>
      </c>
      <c r="I464">
        <f>IFERROR(MAX(0,VALUE(Raw_Data!I464)),0)</f>
        <v>4</v>
      </c>
      <c r="J464" s="13">
        <f>IFERROR(VALUE(Raw_Data!J464),0)</f>
        <v>5480</v>
      </c>
      <c r="K464" s="14">
        <f>IFERROR(VALUE(Raw_Data!K464),0)</f>
        <v>0.02</v>
      </c>
      <c r="L464" t="str">
        <f>PROPER(TRIM(Raw_Data!L464))</f>
        <v>Delivered</v>
      </c>
      <c r="M464" s="13">
        <f t="shared" si="56"/>
        <v>21920</v>
      </c>
      <c r="N464" s="13">
        <f t="shared" si="57"/>
        <v>438.4</v>
      </c>
      <c r="O464" s="13">
        <f t="shared" si="58"/>
        <v>21481.6</v>
      </c>
      <c r="P464" s="13">
        <f t="shared" si="59"/>
        <v>12713.6</v>
      </c>
      <c r="Q464" s="13">
        <f t="shared" si="60"/>
        <v>8768</v>
      </c>
      <c r="R464" s="10">
        <f t="shared" si="61"/>
        <v>0.408163265306122</v>
      </c>
      <c r="S464" t="str">
        <f t="shared" si="62"/>
        <v>May-2026</v>
      </c>
      <c r="T464" t="str">
        <f t="shared" si="63"/>
        <v>OK</v>
      </c>
    </row>
    <row r="465" spans="1:20">
      <c r="A465" t="str">
        <f>TRIM(Raw_Data!A465)</f>
        <v>ORD-10464</v>
      </c>
      <c r="B465" s="12">
        <f>IFERROR(IF(ISNUMBER(Raw_Data!B465),Raw_Data!B465,DATEVALUE(Raw_Data!B465)),"")</f>
        <v>46171</v>
      </c>
      <c r="C465" t="str">
        <f>PROPER(TRIM(Raw_Data!C465))</f>
        <v>Neha</v>
      </c>
      <c r="D465" t="str">
        <f>IF(TRIM(Raw_Data!D465)="Bangalore","Bengaluru",IF(TRIM(Raw_Data!D465)="Mysore","Mysuru",IF(TRIM(Raw_Data!D465)="Cochin","Kochi",PROPER(TRIM(Raw_Data!D465)))))</f>
        <v>Mysuru</v>
      </c>
      <c r="E465" t="str">
        <f>PROPER(TRIM(Raw_Data!E465))</f>
        <v>Retail Store</v>
      </c>
      <c r="F465" t="str">
        <f>PROPER(TRIM(Raw_Data!F465))</f>
        <v>Consumer</v>
      </c>
      <c r="G465" t="str">
        <f>PROPER(TRIM(Raw_Data!G465))</f>
        <v>Mouse</v>
      </c>
      <c r="H465" t="str">
        <f>PROPER(TRIM(Raw_Data!H465))</f>
        <v>Mouse Wireless</v>
      </c>
      <c r="I465">
        <f>IFERROR(MAX(0,VALUE(Raw_Data!I465)),0)</f>
        <v>5</v>
      </c>
      <c r="J465" s="13">
        <f>IFERROR(VALUE(Raw_Data!J465),0)</f>
        <v>1731</v>
      </c>
      <c r="K465" s="14">
        <f>IFERROR(VALUE(Raw_Data!K465),0)</f>
        <v>0</v>
      </c>
      <c r="L465" t="str">
        <f>PROPER(TRIM(Raw_Data!L465))</f>
        <v>Returned</v>
      </c>
      <c r="M465" s="13">
        <f t="shared" si="56"/>
        <v>8655</v>
      </c>
      <c r="N465" s="13">
        <f t="shared" si="57"/>
        <v>0</v>
      </c>
      <c r="O465" s="13">
        <f t="shared" si="58"/>
        <v>8655</v>
      </c>
      <c r="P465" s="13">
        <f t="shared" si="59"/>
        <v>4760.25</v>
      </c>
      <c r="Q465" s="13">
        <f t="shared" si="60"/>
        <v>3894.75</v>
      </c>
      <c r="R465" s="10">
        <f t="shared" si="61"/>
        <v>0.45</v>
      </c>
      <c r="S465" t="str">
        <f t="shared" si="62"/>
        <v>May-2026</v>
      </c>
      <c r="T465" t="str">
        <f t="shared" si="63"/>
        <v>OK</v>
      </c>
    </row>
    <row r="466" spans="1:20">
      <c r="A466" t="str">
        <f>TRIM(Raw_Data!A466)</f>
        <v>ORD-10465</v>
      </c>
      <c r="B466" s="12">
        <f>IFERROR(IF(ISNUMBER(Raw_Data!B466),Raw_Data!B466,DATEVALUE(Raw_Data!B466)),"")</f>
        <v>46251</v>
      </c>
      <c r="C466" t="str">
        <f>PROPER(TRIM(Raw_Data!C466))</f>
        <v>Priya</v>
      </c>
      <c r="D466" t="str">
        <f>IF(TRIM(Raw_Data!D466)="Bangalore","Bengaluru",IF(TRIM(Raw_Data!D466)="Mysore","Mysuru",IF(TRIM(Raw_Data!D466)="Cochin","Kochi",PROPER(TRIM(Raw_Data!D466)))))</f>
        <v>Mysuru</v>
      </c>
      <c r="E466" t="str">
        <f>PROPER(TRIM(Raw_Data!E466))</f>
        <v>Online</v>
      </c>
      <c r="F466" t="str">
        <f>PROPER(TRIM(Raw_Data!F466))</f>
        <v>Consumer</v>
      </c>
      <c r="G466" t="str">
        <f>PROPER(TRIM(Raw_Data!G466))</f>
        <v>Headset</v>
      </c>
      <c r="H466" t="str">
        <f>PROPER(TRIM(Raw_Data!H466))</f>
        <v>Headset Wireless</v>
      </c>
      <c r="I466">
        <f>IFERROR(MAX(0,VALUE(Raw_Data!I466)),0)</f>
        <v>5</v>
      </c>
      <c r="J466" s="13">
        <f>IFERROR(VALUE(Raw_Data!J466),0)</f>
        <v>7013</v>
      </c>
      <c r="K466" s="14">
        <f>IFERROR(VALUE(Raw_Data!K466),0)</f>
        <v>0</v>
      </c>
      <c r="L466" t="str">
        <f>PROPER(TRIM(Raw_Data!L466))</f>
        <v>Pending</v>
      </c>
      <c r="M466" s="13">
        <f t="shared" si="56"/>
        <v>35065</v>
      </c>
      <c r="N466" s="13">
        <f t="shared" si="57"/>
        <v>0</v>
      </c>
      <c r="O466" s="13">
        <f t="shared" si="58"/>
        <v>35065</v>
      </c>
      <c r="P466" s="13">
        <f t="shared" si="59"/>
        <v>21039</v>
      </c>
      <c r="Q466" s="13">
        <f t="shared" si="60"/>
        <v>14026</v>
      </c>
      <c r="R466" s="10">
        <f t="shared" si="61"/>
        <v>0.4</v>
      </c>
      <c r="S466" t="str">
        <f t="shared" si="62"/>
        <v>Aug-2026</v>
      </c>
      <c r="T466" t="str">
        <f t="shared" si="63"/>
        <v>OK</v>
      </c>
    </row>
    <row r="467" spans="1:20">
      <c r="A467" t="str">
        <f>TRIM(Raw_Data!A467)</f>
        <v>ORD-10466</v>
      </c>
      <c r="B467" s="12">
        <f>IFERROR(IF(ISNUMBER(Raw_Data!B467),Raw_Data!B467,DATEVALUE(Raw_Data!B467)),"")</f>
        <v>46224</v>
      </c>
      <c r="C467" t="str">
        <f>PROPER(TRIM(Raw_Data!C467))</f>
        <v>Bhoomika</v>
      </c>
      <c r="D467" t="str">
        <f>IF(TRIM(Raw_Data!D467)="Bangalore","Bengaluru",IF(TRIM(Raw_Data!D467)="Mysore","Mysuru",IF(TRIM(Raw_Data!D467)="Cochin","Kochi",PROPER(TRIM(Raw_Data!D467)))))</f>
        <v>Hyderabad</v>
      </c>
      <c r="E467" t="str">
        <f>PROPER(TRIM(Raw_Data!E467))</f>
        <v>Retail Store</v>
      </c>
      <c r="F467" t="str">
        <f>PROPER(TRIM(Raw_Data!F467))</f>
        <v>Enterprise</v>
      </c>
      <c r="G467" t="str">
        <f>PROPER(TRIM(Raw_Data!G467))</f>
        <v>Monitor</v>
      </c>
      <c r="H467" t="str">
        <f>PROPER(TRIM(Raw_Data!H467))</f>
        <v>Monitor 24</v>
      </c>
      <c r="I467">
        <f>IFERROR(MAX(0,VALUE(Raw_Data!I467)),0)</f>
        <v>7</v>
      </c>
      <c r="J467" s="13">
        <f>IFERROR(VALUE(Raw_Data!J467),0)</f>
        <v>0</v>
      </c>
      <c r="K467" s="14">
        <f>IFERROR(VALUE(Raw_Data!K467),0)</f>
        <v>0.15</v>
      </c>
      <c r="L467" t="str">
        <f>PROPER(TRIM(Raw_Data!L467))</f>
        <v>Delivered</v>
      </c>
      <c r="M467" s="13">
        <f t="shared" si="56"/>
        <v>0</v>
      </c>
      <c r="N467" s="13">
        <f t="shared" si="57"/>
        <v>0</v>
      </c>
      <c r="O467" s="13">
        <f t="shared" si="58"/>
        <v>0</v>
      </c>
      <c r="P467" s="13">
        <f t="shared" si="59"/>
        <v>0</v>
      </c>
      <c r="Q467" s="13">
        <f t="shared" si="60"/>
        <v>0</v>
      </c>
      <c r="R467" s="10">
        <f t="shared" si="61"/>
        <v>0</v>
      </c>
      <c r="S467" t="str">
        <f t="shared" si="62"/>
        <v>Jul-2026</v>
      </c>
      <c r="T467" t="str">
        <f t="shared" si="63"/>
        <v>CHECK</v>
      </c>
    </row>
    <row r="468" spans="1:20">
      <c r="A468" t="str">
        <f>TRIM(Raw_Data!A468)</f>
        <v>ORD-10467</v>
      </c>
      <c r="B468" s="12">
        <f>IFERROR(IF(ISNUMBER(Raw_Data!B468),Raw_Data!B468,DATEVALUE(Raw_Data!B468)),"")</f>
        <v>46037</v>
      </c>
      <c r="C468" t="str">
        <f>PROPER(TRIM(Raw_Data!C468))</f>
        <v>Kiran</v>
      </c>
      <c r="D468" t="str">
        <f>IF(TRIM(Raw_Data!D468)="Bangalore","Bengaluru",IF(TRIM(Raw_Data!D468)="Mysore","Mysuru",IF(TRIM(Raw_Data!D468)="Cochin","Kochi",PROPER(TRIM(Raw_Data!D468)))))</f>
        <v>Hydrabad</v>
      </c>
      <c r="E468" t="str">
        <f>PROPER(TRIM(Raw_Data!E468))</f>
        <v>Corporate</v>
      </c>
      <c r="F468" t="str">
        <f>PROPER(TRIM(Raw_Data!F468))</f>
        <v>Smb</v>
      </c>
      <c r="G468" t="str">
        <f>PROPER(TRIM(Raw_Data!G468))</f>
        <v>Mouse</v>
      </c>
      <c r="H468" t="str">
        <f>PROPER(TRIM(Raw_Data!H468))</f>
        <v>Mouse Ergonomic</v>
      </c>
      <c r="I468">
        <f>IFERROR(MAX(0,VALUE(Raw_Data!I468)),0)</f>
        <v>5</v>
      </c>
      <c r="J468" s="13">
        <f>IFERROR(VALUE(Raw_Data!J468),0)</f>
        <v>1528</v>
      </c>
      <c r="K468" s="14">
        <f>IFERROR(VALUE(Raw_Data!K468),0)</f>
        <v>0.05</v>
      </c>
      <c r="L468" t="str">
        <f>PROPER(TRIM(Raw_Data!L468))</f>
        <v>Delivered</v>
      </c>
      <c r="M468" s="13">
        <f t="shared" si="56"/>
        <v>7640</v>
      </c>
      <c r="N468" s="13">
        <f t="shared" si="57"/>
        <v>382</v>
      </c>
      <c r="O468" s="13">
        <f t="shared" si="58"/>
        <v>7258</v>
      </c>
      <c r="P468" s="13">
        <f t="shared" si="59"/>
        <v>4202</v>
      </c>
      <c r="Q468" s="13">
        <f t="shared" si="60"/>
        <v>3056</v>
      </c>
      <c r="R468" s="10">
        <f t="shared" si="61"/>
        <v>0.421052631578947</v>
      </c>
      <c r="S468" t="str">
        <f t="shared" si="62"/>
        <v>Jan-2026</v>
      </c>
      <c r="T468" t="str">
        <f t="shared" si="63"/>
        <v>OK</v>
      </c>
    </row>
    <row r="469" spans="1:20">
      <c r="A469" t="str">
        <f>TRIM(Raw_Data!A469)</f>
        <v>ORD-10468</v>
      </c>
      <c r="B469" s="12">
        <f>IFERROR(IF(ISNUMBER(Raw_Data!B469),Raw_Data!B469,DATEVALUE(Raw_Data!B469)),"")</f>
        <v>46265</v>
      </c>
      <c r="C469" t="str">
        <f>PROPER(TRIM(Raw_Data!C469))</f>
        <v>Arjun</v>
      </c>
      <c r="D469" t="str">
        <f>IF(TRIM(Raw_Data!D469)="Bangalore","Bengaluru",IF(TRIM(Raw_Data!D469)="Mysore","Mysuru",IF(TRIM(Raw_Data!D469)="Cochin","Kochi",PROPER(TRIM(Raw_Data!D469)))))</f>
        <v>Kochi</v>
      </c>
      <c r="E469" t="str">
        <f>PROPER(TRIM(Raw_Data!E469))</f>
        <v>Retail Store</v>
      </c>
      <c r="F469" t="str">
        <f>PROPER(TRIM(Raw_Data!F469))</f>
        <v>Smb</v>
      </c>
      <c r="G469" t="str">
        <f>PROPER(TRIM(Raw_Data!G469))</f>
        <v>Laptop</v>
      </c>
      <c r="H469" t="str">
        <f>PROPER(TRIM(Raw_Data!H469))</f>
        <v>Business Laptop 15</v>
      </c>
      <c r="I469">
        <f>IFERROR(MAX(0,VALUE(Raw_Data!I469)),0)</f>
        <v>7</v>
      </c>
      <c r="J469" s="13">
        <f>IFERROR(VALUE(Raw_Data!J469),0)</f>
        <v>76918</v>
      </c>
      <c r="K469" s="14">
        <f>IFERROR(VALUE(Raw_Data!K469),0)</f>
        <v>0</v>
      </c>
      <c r="L469" t="str">
        <f>PROPER(TRIM(Raw_Data!L469))</f>
        <v>Delivered</v>
      </c>
      <c r="M469" s="13">
        <f t="shared" si="56"/>
        <v>538426</v>
      </c>
      <c r="N469" s="13">
        <f t="shared" si="57"/>
        <v>0</v>
      </c>
      <c r="O469" s="13">
        <f t="shared" si="58"/>
        <v>538426</v>
      </c>
      <c r="P469" s="13">
        <f t="shared" si="59"/>
        <v>419972.28</v>
      </c>
      <c r="Q469" s="13">
        <f t="shared" si="60"/>
        <v>118453.72</v>
      </c>
      <c r="R469" s="10">
        <f t="shared" si="61"/>
        <v>0.22</v>
      </c>
      <c r="S469" t="str">
        <f t="shared" si="62"/>
        <v>Aug-2026</v>
      </c>
      <c r="T469" t="str">
        <f t="shared" si="63"/>
        <v>OK</v>
      </c>
    </row>
    <row r="470" spans="1:20">
      <c r="A470" t="str">
        <f>TRIM(Raw_Data!A470)</f>
        <v>ORD-10469</v>
      </c>
      <c r="B470" s="12">
        <f>IFERROR(IF(ISNUMBER(Raw_Data!B470),Raw_Data!B470,DATEVALUE(Raw_Data!B470)),"")</f>
        <v>46045</v>
      </c>
      <c r="C470" t="str">
        <f>PROPER(TRIM(Raw_Data!C470))</f>
        <v>Ravi</v>
      </c>
      <c r="D470" t="str">
        <f>IF(TRIM(Raw_Data!D470)="Bangalore","Bengaluru",IF(TRIM(Raw_Data!D470)="Mysore","Mysuru",IF(TRIM(Raw_Data!D470)="Cochin","Kochi",PROPER(TRIM(Raw_Data!D470)))))</f>
        <v>New Delhi</v>
      </c>
      <c r="E470" t="str">
        <f>PROPER(TRIM(Raw_Data!E470))</f>
        <v>Corporate</v>
      </c>
      <c r="F470" t="str">
        <f>PROPER(TRIM(Raw_Data!F470))</f>
        <v>Enterprise</v>
      </c>
      <c r="G470" t="str">
        <f>PROPER(TRIM(Raw_Data!G470))</f>
        <v>Mouse</v>
      </c>
      <c r="H470" t="str">
        <f>PROPER(TRIM(Raw_Data!H470))</f>
        <v>Mouse Wireless</v>
      </c>
      <c r="I470">
        <f>IFERROR(MAX(0,VALUE(Raw_Data!I470)),0)</f>
        <v>5</v>
      </c>
      <c r="J470" s="13">
        <f>IFERROR(VALUE(Raw_Data!J470),0)</f>
        <v>2980</v>
      </c>
      <c r="K470" s="14">
        <f>IFERROR(VALUE(Raw_Data!K470),0)</f>
        <v>0.15</v>
      </c>
      <c r="L470" t="str">
        <f>PROPER(TRIM(Raw_Data!L470))</f>
        <v>Delivered</v>
      </c>
      <c r="M470" s="13">
        <f t="shared" si="56"/>
        <v>14900</v>
      </c>
      <c r="N470" s="13">
        <f t="shared" si="57"/>
        <v>2235</v>
      </c>
      <c r="O470" s="13">
        <f t="shared" si="58"/>
        <v>12665</v>
      </c>
      <c r="P470" s="13">
        <f t="shared" si="59"/>
        <v>8195</v>
      </c>
      <c r="Q470" s="13">
        <f t="shared" si="60"/>
        <v>4470</v>
      </c>
      <c r="R470" s="10">
        <f t="shared" si="61"/>
        <v>0.352941176470588</v>
      </c>
      <c r="S470" t="str">
        <f t="shared" si="62"/>
        <v>Jan-2026</v>
      </c>
      <c r="T470" t="str">
        <f t="shared" si="63"/>
        <v>OK</v>
      </c>
    </row>
    <row r="471" spans="1:20">
      <c r="A471" t="str">
        <f>TRIM(Raw_Data!A471)</f>
        <v>ORD-10470</v>
      </c>
      <c r="B471" s="12">
        <f>IFERROR(IF(ISNUMBER(Raw_Data!B471),Raw_Data!B471,DATEVALUE(Raw_Data!B471)),"")</f>
        <v>46089</v>
      </c>
      <c r="C471" t="str">
        <f>PROPER(TRIM(Raw_Data!C471))</f>
        <v>Arjun</v>
      </c>
      <c r="D471" t="str">
        <f>IF(TRIM(Raw_Data!D471)="Bangalore","Bengaluru",IF(TRIM(Raw_Data!D471)="Mysore","Mysuru",IF(TRIM(Raw_Data!D471)="Cochin","Kochi",PROPER(TRIM(Raw_Data!D471)))))</f>
        <v>Bengaluru</v>
      </c>
      <c r="E471" t="str">
        <f>PROPER(TRIM(Raw_Data!E471))</f>
        <v>Online</v>
      </c>
      <c r="F471" t="str">
        <f>PROPER(TRIM(Raw_Data!F471))</f>
        <v>Enterprise</v>
      </c>
      <c r="G471" t="str">
        <f>PROPER(TRIM(Raw_Data!G471))</f>
        <v>Keyboard</v>
      </c>
      <c r="H471" t="str">
        <f>PROPER(TRIM(Raw_Data!H471))</f>
        <v>Keyboard Office</v>
      </c>
      <c r="I471">
        <f>IFERROR(MAX(0,VALUE(Raw_Data!I471)),0)</f>
        <v>8</v>
      </c>
      <c r="J471" s="13">
        <f>IFERROR(VALUE(Raw_Data!J471),0)</f>
        <v>4565</v>
      </c>
      <c r="K471" s="14">
        <f>IFERROR(VALUE(Raw_Data!K471),0)</f>
        <v>0</v>
      </c>
      <c r="L471" t="str">
        <f>PROPER(TRIM(Raw_Data!L471))</f>
        <v>Cancelled</v>
      </c>
      <c r="M471" s="13">
        <f t="shared" si="56"/>
        <v>36520</v>
      </c>
      <c r="N471" s="13">
        <f t="shared" si="57"/>
        <v>0</v>
      </c>
      <c r="O471" s="13">
        <f t="shared" si="58"/>
        <v>36520</v>
      </c>
      <c r="P471" s="13">
        <f t="shared" si="59"/>
        <v>21181.6</v>
      </c>
      <c r="Q471" s="13">
        <f t="shared" si="60"/>
        <v>15338.4</v>
      </c>
      <c r="R471" s="10">
        <f t="shared" si="61"/>
        <v>0.42</v>
      </c>
      <c r="S471" t="str">
        <f t="shared" si="62"/>
        <v>Mar-2026</v>
      </c>
      <c r="T471" t="str">
        <f t="shared" si="63"/>
        <v>OK</v>
      </c>
    </row>
    <row r="472" spans="1:20">
      <c r="A472" t="str">
        <f>TRIM(Raw_Data!A472)</f>
        <v>ORD-10471</v>
      </c>
      <c r="B472" s="12">
        <f>IFERROR(IF(ISNUMBER(Raw_Data!B472),Raw_Data!B472,DATEVALUE(Raw_Data!B472)),"")</f>
        <v>46063</v>
      </c>
      <c r="C472" t="str">
        <f>PROPER(TRIM(Raw_Data!C472))</f>
        <v>Arjun</v>
      </c>
      <c r="D472" t="str">
        <f>IF(TRIM(Raw_Data!D472)="Bangalore","Bengaluru",IF(TRIM(Raw_Data!D472)="Mysore","Mysuru",IF(TRIM(Raw_Data!D472)="Cochin","Kochi",PROPER(TRIM(Raw_Data!D472)))))</f>
        <v>Mysuru</v>
      </c>
      <c r="E472" t="str">
        <f>PROPER(TRIM(Raw_Data!E472))</f>
        <v>Retail Store</v>
      </c>
      <c r="F472" t="str">
        <f>PROPER(TRIM(Raw_Data!F472))</f>
        <v>Consumer</v>
      </c>
      <c r="G472" t="str">
        <f>PROPER(TRIM(Raw_Data!G472))</f>
        <v>Headset</v>
      </c>
      <c r="H472" t="str">
        <f>PROPER(TRIM(Raw_Data!H472))</f>
        <v>Headset Pro</v>
      </c>
      <c r="I472">
        <f>IFERROR(MAX(0,VALUE(Raw_Data!I472)),0)</f>
        <v>8</v>
      </c>
      <c r="J472" s="13">
        <f>IFERROR(VALUE(Raw_Data!J472),0)</f>
        <v>0</v>
      </c>
      <c r="K472" s="14">
        <f>IFERROR(VALUE(Raw_Data!K472),0)</f>
        <v>0.08</v>
      </c>
      <c r="L472" t="str">
        <f>PROPER(TRIM(Raw_Data!L472))</f>
        <v>Returned</v>
      </c>
      <c r="M472" s="13">
        <f t="shared" si="56"/>
        <v>0</v>
      </c>
      <c r="N472" s="13">
        <f t="shared" si="57"/>
        <v>0</v>
      </c>
      <c r="O472" s="13">
        <f t="shared" si="58"/>
        <v>0</v>
      </c>
      <c r="P472" s="13">
        <f t="shared" si="59"/>
        <v>0</v>
      </c>
      <c r="Q472" s="13">
        <f t="shared" si="60"/>
        <v>0</v>
      </c>
      <c r="R472" s="10">
        <f t="shared" si="61"/>
        <v>0</v>
      </c>
      <c r="S472" t="str">
        <f t="shared" si="62"/>
        <v>Feb-2026</v>
      </c>
      <c r="T472" t="str">
        <f t="shared" si="63"/>
        <v>CHECK</v>
      </c>
    </row>
    <row r="473" spans="1:20">
      <c r="A473" t="str">
        <f>TRIM(Raw_Data!A473)</f>
        <v>ORD-10472</v>
      </c>
      <c r="B473" s="12">
        <f>IFERROR(IF(ISNUMBER(Raw_Data!B473),Raw_Data!B473,DATEVALUE(Raw_Data!B473)),"")</f>
        <v>46061</v>
      </c>
      <c r="C473" t="str">
        <f>PROPER(TRIM(Raw_Data!C473))</f>
        <v>Priya</v>
      </c>
      <c r="D473" t="str">
        <f>IF(TRIM(Raw_Data!D473)="Bangalore","Bengaluru",IF(TRIM(Raw_Data!D473)="Mysore","Mysuru",IF(TRIM(Raw_Data!D473)="Cochin","Kochi",PROPER(TRIM(Raw_Data!D473)))))</f>
        <v>Delhi</v>
      </c>
      <c r="E473" t="str">
        <f>PROPER(TRIM(Raw_Data!E473))</f>
        <v>Online</v>
      </c>
      <c r="F473" t="str">
        <f>PROPER(TRIM(Raw_Data!F473))</f>
        <v>Consumer</v>
      </c>
      <c r="G473" t="str">
        <f>PROPER(TRIM(Raw_Data!G473))</f>
        <v>Keyboard</v>
      </c>
      <c r="H473" t="str">
        <f>PROPER(TRIM(Raw_Data!H473))</f>
        <v>Keyboard Wireless</v>
      </c>
      <c r="I473">
        <f>IFERROR(MAX(0,VALUE(Raw_Data!I473)),0)</f>
        <v>3</v>
      </c>
      <c r="J473" s="13">
        <f>IFERROR(VALUE(Raw_Data!J473),0)</f>
        <v>2841</v>
      </c>
      <c r="K473" s="14">
        <f>IFERROR(VALUE(Raw_Data!K473),0)</f>
        <v>0.02</v>
      </c>
      <c r="L473" t="str">
        <f>PROPER(TRIM(Raw_Data!L473))</f>
        <v>Delivered</v>
      </c>
      <c r="M473" s="13">
        <f t="shared" si="56"/>
        <v>8523</v>
      </c>
      <c r="N473" s="13">
        <f t="shared" si="57"/>
        <v>170.46</v>
      </c>
      <c r="O473" s="13">
        <f t="shared" si="58"/>
        <v>8352.54</v>
      </c>
      <c r="P473" s="13">
        <f t="shared" si="59"/>
        <v>4943.34</v>
      </c>
      <c r="Q473" s="13">
        <f t="shared" si="60"/>
        <v>3409.2</v>
      </c>
      <c r="R473" s="10">
        <f t="shared" si="61"/>
        <v>0.408163265306123</v>
      </c>
      <c r="S473" t="str">
        <f t="shared" si="62"/>
        <v>Feb-2026</v>
      </c>
      <c r="T473" t="str">
        <f t="shared" si="63"/>
        <v>OK</v>
      </c>
    </row>
    <row r="474" spans="1:20">
      <c r="A474" t="str">
        <f>TRIM(Raw_Data!A474)</f>
        <v>ORD-10473</v>
      </c>
      <c r="B474" s="12">
        <f>IFERROR(IF(ISNUMBER(Raw_Data!B474),Raw_Data!B474,DATEVALUE(Raw_Data!B474)),"")</f>
        <v>46262</v>
      </c>
      <c r="C474" t="str">
        <f>PROPER(TRIM(Raw_Data!C474))</f>
        <v>Asha</v>
      </c>
      <c r="D474" t="str">
        <f>IF(TRIM(Raw_Data!D474)="Bangalore","Bengaluru",IF(TRIM(Raw_Data!D474)="Mysore","Mysuru",IF(TRIM(Raw_Data!D474)="Cochin","Kochi",PROPER(TRIM(Raw_Data!D474)))))</f>
        <v>Bengaluru</v>
      </c>
      <c r="E474" t="str">
        <f>PROPER(TRIM(Raw_Data!E474))</f>
        <v>Online</v>
      </c>
      <c r="F474" t="str">
        <f>PROPER(TRIM(Raw_Data!F474))</f>
        <v>Consumer</v>
      </c>
      <c r="G474" t="str">
        <f>PROPER(TRIM(Raw_Data!G474))</f>
        <v>Monitor</v>
      </c>
      <c r="H474" t="str">
        <f>PROPER(TRIM(Raw_Data!H474))</f>
        <v>Monitor 27</v>
      </c>
      <c r="I474">
        <f>IFERROR(MAX(0,VALUE(Raw_Data!I474)),0)</f>
        <v>8</v>
      </c>
      <c r="J474" s="13">
        <f>IFERROR(VALUE(Raw_Data!J474),0)</f>
        <v>23406</v>
      </c>
      <c r="K474" s="14">
        <f>IFERROR(VALUE(Raw_Data!K474),0)</f>
        <v>0.15</v>
      </c>
      <c r="L474" t="str">
        <f>PROPER(TRIM(Raw_Data!L474))</f>
        <v>Returned</v>
      </c>
      <c r="M474" s="13">
        <f t="shared" si="56"/>
        <v>187248</v>
      </c>
      <c r="N474" s="13">
        <f t="shared" si="57"/>
        <v>28087.2</v>
      </c>
      <c r="O474" s="13">
        <f t="shared" si="58"/>
        <v>159160.8</v>
      </c>
      <c r="P474" s="13">
        <f t="shared" si="59"/>
        <v>131073.6</v>
      </c>
      <c r="Q474" s="13">
        <f t="shared" si="60"/>
        <v>28087.2</v>
      </c>
      <c r="R474" s="10">
        <f t="shared" si="61"/>
        <v>0.176470588235294</v>
      </c>
      <c r="S474" t="str">
        <f t="shared" si="62"/>
        <v>Aug-2026</v>
      </c>
      <c r="T474" t="str">
        <f t="shared" si="63"/>
        <v>OK</v>
      </c>
    </row>
    <row r="475" spans="1:20">
      <c r="A475" t="str">
        <f>TRIM(Raw_Data!A475)</f>
        <v>ORD-10474</v>
      </c>
      <c r="B475" s="12">
        <f>IFERROR(IF(ISNUMBER(Raw_Data!B475),Raw_Data!B475,DATEVALUE(Raw_Data!B475)),"")</f>
        <v>46212</v>
      </c>
      <c r="C475" t="str">
        <f>PROPER(TRIM(Raw_Data!C475))</f>
        <v>Neha</v>
      </c>
      <c r="D475" t="str">
        <f>IF(TRIM(Raw_Data!D475)="Bangalore","Bengaluru",IF(TRIM(Raw_Data!D475)="Mysore","Mysuru",IF(TRIM(Raw_Data!D475)="Cochin","Kochi",PROPER(TRIM(Raw_Data!D475)))))</f>
        <v>Delhi</v>
      </c>
      <c r="E475" t="str">
        <f>PROPER(TRIM(Raw_Data!E475))</f>
        <v>Retail Store</v>
      </c>
      <c r="F475" t="str">
        <f>PROPER(TRIM(Raw_Data!F475))</f>
        <v>Smb</v>
      </c>
      <c r="G475" t="str">
        <f>PROPER(TRIM(Raw_Data!G475))</f>
        <v>Headset</v>
      </c>
      <c r="H475" t="str">
        <f>PROPER(TRIM(Raw_Data!H475))</f>
        <v>Headset Wireless</v>
      </c>
      <c r="I475">
        <f>IFERROR(MAX(0,VALUE(Raw_Data!I475)),0)</f>
        <v>6</v>
      </c>
      <c r="J475" s="13">
        <f>IFERROR(VALUE(Raw_Data!J475),0)</f>
        <v>5652</v>
      </c>
      <c r="K475" s="14">
        <f>IFERROR(VALUE(Raw_Data!K475),0)</f>
        <v>0.08</v>
      </c>
      <c r="L475" t="str">
        <f>PROPER(TRIM(Raw_Data!L475))</f>
        <v>Delivered</v>
      </c>
      <c r="M475" s="13">
        <f t="shared" si="56"/>
        <v>33912</v>
      </c>
      <c r="N475" s="13">
        <f t="shared" si="57"/>
        <v>2712.96</v>
      </c>
      <c r="O475" s="13">
        <f t="shared" si="58"/>
        <v>31199.04</v>
      </c>
      <c r="P475" s="13">
        <f t="shared" si="59"/>
        <v>20347.2</v>
      </c>
      <c r="Q475" s="13">
        <f t="shared" si="60"/>
        <v>10851.84</v>
      </c>
      <c r="R475" s="10">
        <f t="shared" si="61"/>
        <v>0.347826086956522</v>
      </c>
      <c r="S475" t="str">
        <f t="shared" si="62"/>
        <v>Jul-2026</v>
      </c>
      <c r="T475" t="str">
        <f t="shared" si="63"/>
        <v>OK</v>
      </c>
    </row>
    <row r="476" spans="1:20">
      <c r="A476" t="str">
        <f>TRIM(Raw_Data!A476)</f>
        <v>ORD-10475</v>
      </c>
      <c r="B476" s="12">
        <f>IFERROR(IF(ISNUMBER(Raw_Data!B476),Raw_Data!B476,DATEVALUE(Raw_Data!B476)),"")</f>
        <v>46122</v>
      </c>
      <c r="C476" t="str">
        <f>PROPER(TRIM(Raw_Data!C476))</f>
        <v>Neha</v>
      </c>
      <c r="D476" t="str">
        <f>IF(TRIM(Raw_Data!D476)="Bangalore","Bengaluru",IF(TRIM(Raw_Data!D476)="Mysore","Mysuru",IF(TRIM(Raw_Data!D476)="Cochin","Kochi",PROPER(TRIM(Raw_Data!D476)))))</f>
        <v>Mumbai</v>
      </c>
      <c r="E476" t="str">
        <f>PROPER(TRIM(Raw_Data!E476))</f>
        <v>Online</v>
      </c>
      <c r="F476" t="str">
        <f>PROPER(TRIM(Raw_Data!F476))</f>
        <v>Consumer</v>
      </c>
      <c r="G476" t="str">
        <f>PROPER(TRIM(Raw_Data!G476))</f>
        <v>Mouse</v>
      </c>
      <c r="H476" t="str">
        <f>PROPER(TRIM(Raw_Data!H476))</f>
        <v>Mouse Wireless</v>
      </c>
      <c r="I476">
        <f>IFERROR(MAX(0,VALUE(Raw_Data!I476)),0)</f>
        <v>1</v>
      </c>
      <c r="J476" s="13">
        <f>IFERROR(VALUE(Raw_Data!J476),0)</f>
        <v>1719</v>
      </c>
      <c r="K476" s="14">
        <f>IFERROR(VALUE(Raw_Data!K476),0)</f>
        <v>0.02</v>
      </c>
      <c r="L476" t="str">
        <f>PROPER(TRIM(Raw_Data!L476))</f>
        <v>Cancelled</v>
      </c>
      <c r="M476" s="13">
        <f t="shared" si="56"/>
        <v>1719</v>
      </c>
      <c r="N476" s="13">
        <f t="shared" si="57"/>
        <v>34.38</v>
      </c>
      <c r="O476" s="13">
        <f t="shared" si="58"/>
        <v>1684.62</v>
      </c>
      <c r="P476" s="13">
        <f t="shared" si="59"/>
        <v>945.45</v>
      </c>
      <c r="Q476" s="13">
        <f t="shared" si="60"/>
        <v>739.17</v>
      </c>
      <c r="R476" s="10">
        <f t="shared" si="61"/>
        <v>0.438775510204082</v>
      </c>
      <c r="S476" t="str">
        <f t="shared" si="62"/>
        <v>Apr-2026</v>
      </c>
      <c r="T476" t="str">
        <f t="shared" si="63"/>
        <v>OK</v>
      </c>
    </row>
    <row r="477" spans="1:20">
      <c r="A477" t="str">
        <f>TRIM(Raw_Data!A477)</f>
        <v>ORD-10476</v>
      </c>
      <c r="B477" s="12">
        <f>IFERROR(IF(ISNUMBER(Raw_Data!B477),Raw_Data!B477,DATEVALUE(Raw_Data!B477)),"")</f>
        <v>46116</v>
      </c>
      <c r="C477" t="str">
        <f>PROPER(TRIM(Raw_Data!C477))</f>
        <v>Asha</v>
      </c>
      <c r="D477" t="str">
        <f>IF(TRIM(Raw_Data!D477)="Bangalore","Bengaluru",IF(TRIM(Raw_Data!D477)="Mysore","Mysuru",IF(TRIM(Raw_Data!D477)="Cochin","Kochi",PROPER(TRIM(Raw_Data!D477)))))</f>
        <v>Bengaluru</v>
      </c>
      <c r="E477" t="str">
        <f>PROPER(TRIM(Raw_Data!E477))</f>
        <v>Online</v>
      </c>
      <c r="F477" t="str">
        <f>PROPER(TRIM(Raw_Data!F477))</f>
        <v>Smb</v>
      </c>
      <c r="G477" t="str">
        <f>PROPER(TRIM(Raw_Data!G477))</f>
        <v>Laptop</v>
      </c>
      <c r="H477" t="str">
        <f>PROPER(TRIM(Raw_Data!H477))</f>
        <v>Laptop Pro 14</v>
      </c>
      <c r="I477">
        <f>IFERROR(MAX(0,VALUE(Raw_Data!I477)),0)</f>
        <v>6</v>
      </c>
      <c r="J477" s="13">
        <f>IFERROR(VALUE(Raw_Data!J477),0)</f>
        <v>77607</v>
      </c>
      <c r="K477" s="14">
        <f>IFERROR(VALUE(Raw_Data!K477),0)</f>
        <v>0.05</v>
      </c>
      <c r="L477" t="str">
        <f>PROPER(TRIM(Raw_Data!L477))</f>
        <v>Cancelled</v>
      </c>
      <c r="M477" s="13">
        <f t="shared" si="56"/>
        <v>465642</v>
      </c>
      <c r="N477" s="13">
        <f t="shared" si="57"/>
        <v>23282.1</v>
      </c>
      <c r="O477" s="13">
        <f t="shared" si="58"/>
        <v>442359.9</v>
      </c>
      <c r="P477" s="13">
        <f t="shared" si="59"/>
        <v>363200.76</v>
      </c>
      <c r="Q477" s="13">
        <f t="shared" si="60"/>
        <v>79159.14</v>
      </c>
      <c r="R477" s="10">
        <f t="shared" si="61"/>
        <v>0.178947368421053</v>
      </c>
      <c r="S477" t="str">
        <f t="shared" si="62"/>
        <v>Apr-2026</v>
      </c>
      <c r="T477" t="str">
        <f t="shared" si="63"/>
        <v>OK</v>
      </c>
    </row>
    <row r="478" spans="1:20">
      <c r="A478" t="str">
        <f>TRIM(Raw_Data!A478)</f>
        <v>ORD-10477</v>
      </c>
      <c r="B478" s="12">
        <f>IFERROR(IF(ISNUMBER(Raw_Data!B478),Raw_Data!B478,DATEVALUE(Raw_Data!B478)),"")</f>
        <v>46130</v>
      </c>
      <c r="C478" t="str">
        <f>PROPER(TRIM(Raw_Data!C478))</f>
        <v>Bhoomika</v>
      </c>
      <c r="D478" t="str">
        <f>IF(TRIM(Raw_Data!D478)="Bangalore","Bengaluru",IF(TRIM(Raw_Data!D478)="Mysore","Mysuru",IF(TRIM(Raw_Data!D478)="Cochin","Kochi",PROPER(TRIM(Raw_Data!D478)))))</f>
        <v>Mysuru</v>
      </c>
      <c r="E478" t="str">
        <f>PROPER(TRIM(Raw_Data!E478))</f>
        <v>Retail Store</v>
      </c>
      <c r="F478" t="str">
        <f>PROPER(TRIM(Raw_Data!F478))</f>
        <v>Consumer</v>
      </c>
      <c r="G478" t="str">
        <f>PROPER(TRIM(Raw_Data!G478))</f>
        <v>Laptop</v>
      </c>
      <c r="H478" t="str">
        <f>PROPER(TRIM(Raw_Data!H478))</f>
        <v>Laptop Pro 14</v>
      </c>
      <c r="I478">
        <f>IFERROR(MAX(0,VALUE(Raw_Data!I478)),0)</f>
        <v>1</v>
      </c>
      <c r="J478" s="13">
        <f>IFERROR(VALUE(Raw_Data!J478),0)</f>
        <v>75437</v>
      </c>
      <c r="K478" s="14">
        <f>IFERROR(VALUE(Raw_Data!K478),0)</f>
        <v>0.05</v>
      </c>
      <c r="L478" t="str">
        <f>PROPER(TRIM(Raw_Data!L478))</f>
        <v>Pending</v>
      </c>
      <c r="M478" s="13">
        <f t="shared" si="56"/>
        <v>75437</v>
      </c>
      <c r="N478" s="13">
        <f t="shared" si="57"/>
        <v>3771.85</v>
      </c>
      <c r="O478" s="13">
        <f t="shared" si="58"/>
        <v>71665.15</v>
      </c>
      <c r="P478" s="13">
        <f t="shared" si="59"/>
        <v>58840.86</v>
      </c>
      <c r="Q478" s="13">
        <f t="shared" si="60"/>
        <v>12824.29</v>
      </c>
      <c r="R478" s="10">
        <f t="shared" si="61"/>
        <v>0.178947368421053</v>
      </c>
      <c r="S478" t="str">
        <f t="shared" si="62"/>
        <v>Apr-2026</v>
      </c>
      <c r="T478" t="str">
        <f t="shared" si="63"/>
        <v>OK</v>
      </c>
    </row>
    <row r="479" spans="1:20">
      <c r="A479" t="str">
        <f>TRIM(Raw_Data!A479)</f>
        <v>ORD-10478</v>
      </c>
      <c r="B479" s="12">
        <f>IFERROR(IF(ISNUMBER(Raw_Data!B479),Raw_Data!B479,DATEVALUE(Raw_Data!B479)),"")</f>
        <v>46191</v>
      </c>
      <c r="C479" t="str">
        <f>PROPER(TRIM(Raw_Data!C479))</f>
        <v>Arjun</v>
      </c>
      <c r="D479" t="str">
        <f>IF(TRIM(Raw_Data!D479)="Bangalore","Bengaluru",IF(TRIM(Raw_Data!D479)="Mysore","Mysuru",IF(TRIM(Raw_Data!D479)="Cochin","Kochi",PROPER(TRIM(Raw_Data!D479)))))</f>
        <v>Chennai</v>
      </c>
      <c r="E479" t="str">
        <f>PROPER(TRIM(Raw_Data!E479))</f>
        <v>Corporate</v>
      </c>
      <c r="F479" t="str">
        <f>PROPER(TRIM(Raw_Data!F479))</f>
        <v>Consumer</v>
      </c>
      <c r="G479" t="str">
        <f>PROPER(TRIM(Raw_Data!G479))</f>
        <v>Laptop</v>
      </c>
      <c r="H479" t="str">
        <f>PROPER(TRIM(Raw_Data!H479))</f>
        <v>Business Laptop 15</v>
      </c>
      <c r="I479">
        <f>IFERROR(MAX(0,VALUE(Raw_Data!I479)),0)</f>
        <v>5</v>
      </c>
      <c r="J479" s="13">
        <f>IFERROR(VALUE(Raw_Data!J479),0)</f>
        <v>71465</v>
      </c>
      <c r="K479" s="14">
        <f>IFERROR(VALUE(Raw_Data!K479),0)</f>
        <v>0.02</v>
      </c>
      <c r="L479" t="str">
        <f>PROPER(TRIM(Raw_Data!L479))</f>
        <v>Returned</v>
      </c>
      <c r="M479" s="13">
        <f t="shared" si="56"/>
        <v>357325</v>
      </c>
      <c r="N479" s="13">
        <f t="shared" si="57"/>
        <v>7146.5</v>
      </c>
      <c r="O479" s="13">
        <f t="shared" si="58"/>
        <v>350178.5</v>
      </c>
      <c r="P479" s="13">
        <f t="shared" si="59"/>
        <v>278713.5</v>
      </c>
      <c r="Q479" s="13">
        <f t="shared" si="60"/>
        <v>71465</v>
      </c>
      <c r="R479" s="10">
        <f t="shared" si="61"/>
        <v>0.204081632653061</v>
      </c>
      <c r="S479" t="str">
        <f t="shared" si="62"/>
        <v>Jun-2026</v>
      </c>
      <c r="T479" t="str">
        <f t="shared" si="63"/>
        <v>OK</v>
      </c>
    </row>
    <row r="480" spans="1:20">
      <c r="A480" t="str">
        <f>TRIM(Raw_Data!A480)</f>
        <v>ORD-10479</v>
      </c>
      <c r="B480" s="12">
        <f>IFERROR(IF(ISNUMBER(Raw_Data!B480),Raw_Data!B480,DATEVALUE(Raw_Data!B480)),"")</f>
        <v>46254</v>
      </c>
      <c r="C480" t="str">
        <f>PROPER(TRIM(Raw_Data!C480))</f>
        <v>Asha</v>
      </c>
      <c r="D480" t="str">
        <f>IF(TRIM(Raw_Data!D480)="Bangalore","Bengaluru",IF(TRIM(Raw_Data!D480)="Mysore","Mysuru",IF(TRIM(Raw_Data!D480)="Cochin","Kochi",PROPER(TRIM(Raw_Data!D480)))))</f>
        <v>Bengaluru</v>
      </c>
      <c r="E480" t="str">
        <f>PROPER(TRIM(Raw_Data!E480))</f>
        <v>Retail Store</v>
      </c>
      <c r="F480" t="str">
        <f>PROPER(TRIM(Raw_Data!F480))</f>
        <v>Consumer</v>
      </c>
      <c r="G480" t="str">
        <f>PROPER(TRIM(Raw_Data!G480))</f>
        <v>Mouse</v>
      </c>
      <c r="H480" t="str">
        <f>PROPER(TRIM(Raw_Data!H480))</f>
        <v>Mouse Basic</v>
      </c>
      <c r="I480">
        <f>IFERROR(MAX(0,VALUE(Raw_Data!I480)),0)</f>
        <v>1</v>
      </c>
      <c r="J480" s="13">
        <f>IFERROR(VALUE(Raw_Data!J480),0)</f>
        <v>1285</v>
      </c>
      <c r="K480" s="14">
        <f>IFERROR(VALUE(Raw_Data!K480),0)</f>
        <v>0.02</v>
      </c>
      <c r="L480" t="str">
        <f>PROPER(TRIM(Raw_Data!L480))</f>
        <v>Delivered</v>
      </c>
      <c r="M480" s="13">
        <f t="shared" si="56"/>
        <v>1285</v>
      </c>
      <c r="N480" s="13">
        <f t="shared" si="57"/>
        <v>25.7</v>
      </c>
      <c r="O480" s="13">
        <f t="shared" si="58"/>
        <v>1259.3</v>
      </c>
      <c r="P480" s="13">
        <f t="shared" si="59"/>
        <v>706.75</v>
      </c>
      <c r="Q480" s="13">
        <f t="shared" si="60"/>
        <v>552.55</v>
      </c>
      <c r="R480" s="10">
        <f t="shared" si="61"/>
        <v>0.438775510204082</v>
      </c>
      <c r="S480" t="str">
        <f t="shared" si="62"/>
        <v>Aug-2026</v>
      </c>
      <c r="T480" t="str">
        <f t="shared" si="63"/>
        <v>OK</v>
      </c>
    </row>
    <row r="481" spans="1:20">
      <c r="A481" t="str">
        <f>TRIM(Raw_Data!A481)</f>
        <v>ORD-10480</v>
      </c>
      <c r="B481" s="12">
        <f>IFERROR(IF(ISNUMBER(Raw_Data!B481),Raw_Data!B481,DATEVALUE(Raw_Data!B481)),"")</f>
        <v>46251</v>
      </c>
      <c r="C481" t="str">
        <f>PROPER(TRIM(Raw_Data!C481))</f>
        <v>Arjun</v>
      </c>
      <c r="D481" t="str">
        <f>IF(TRIM(Raw_Data!D481)="Bangalore","Bengaluru",IF(TRIM(Raw_Data!D481)="Mysore","Mysuru",IF(TRIM(Raw_Data!D481)="Cochin","Kochi",PROPER(TRIM(Raw_Data!D481)))))</f>
        <v>Delhi</v>
      </c>
      <c r="E481" t="str">
        <f>PROPER(TRIM(Raw_Data!E481))</f>
        <v>Corporate</v>
      </c>
      <c r="F481" t="str">
        <f>PROPER(TRIM(Raw_Data!F481))</f>
        <v>Smb</v>
      </c>
      <c r="G481" t="str">
        <f>PROPER(TRIM(Raw_Data!G481))</f>
        <v>Monitor</v>
      </c>
      <c r="H481" t="str">
        <f>PROPER(TRIM(Raw_Data!H481))</f>
        <v>Monitor 27</v>
      </c>
      <c r="I481">
        <f>IFERROR(MAX(0,VALUE(Raw_Data!I481)),0)</f>
        <v>6</v>
      </c>
      <c r="J481" s="13">
        <f>IFERROR(VALUE(Raw_Data!J481),0)</f>
        <v>26986</v>
      </c>
      <c r="K481" s="14">
        <f>IFERROR(VALUE(Raw_Data!K481),0)</f>
        <v>0.1</v>
      </c>
      <c r="L481" t="str">
        <f>PROPER(TRIM(Raw_Data!L481))</f>
        <v>Delivered</v>
      </c>
      <c r="M481" s="13">
        <f t="shared" si="56"/>
        <v>161916</v>
      </c>
      <c r="N481" s="13">
        <f t="shared" si="57"/>
        <v>16191.6</v>
      </c>
      <c r="O481" s="13">
        <f t="shared" si="58"/>
        <v>145724.4</v>
      </c>
      <c r="P481" s="13">
        <f t="shared" si="59"/>
        <v>113341.2</v>
      </c>
      <c r="Q481" s="13">
        <f t="shared" si="60"/>
        <v>32383.2</v>
      </c>
      <c r="R481" s="10">
        <f t="shared" si="61"/>
        <v>0.222222222222222</v>
      </c>
      <c r="S481" t="str">
        <f t="shared" si="62"/>
        <v>Aug-2026</v>
      </c>
      <c r="T481" t="str">
        <f t="shared" si="63"/>
        <v>OK</v>
      </c>
    </row>
    <row r="482" spans="1:20">
      <c r="A482" t="str">
        <f>TRIM(Raw_Data!A482)</f>
        <v>ORD-10481</v>
      </c>
      <c r="B482" s="12">
        <f>IFERROR(IF(ISNUMBER(Raw_Data!B482),Raw_Data!B482,DATEVALUE(Raw_Data!B482)),"")</f>
        <v>46244</v>
      </c>
      <c r="C482" t="str">
        <f>PROPER(TRIM(Raw_Data!C482))</f>
        <v>Priya</v>
      </c>
      <c r="D482" t="str">
        <f>IF(TRIM(Raw_Data!D482)="Bangalore","Bengaluru",IF(TRIM(Raw_Data!D482)="Mysore","Mysuru",IF(TRIM(Raw_Data!D482)="Cochin","Kochi",PROPER(TRIM(Raw_Data!D482)))))</f>
        <v>Kochi</v>
      </c>
      <c r="E482" t="str">
        <f>PROPER(TRIM(Raw_Data!E482))</f>
        <v>Online</v>
      </c>
      <c r="F482" t="str">
        <f>PROPER(TRIM(Raw_Data!F482))</f>
        <v>Enterprise</v>
      </c>
      <c r="G482" t="str">
        <f>PROPER(TRIM(Raw_Data!G482))</f>
        <v>Headset</v>
      </c>
      <c r="H482" t="str">
        <f>PROPER(TRIM(Raw_Data!H482))</f>
        <v>Headset Pro</v>
      </c>
      <c r="I482">
        <f>IFERROR(MAX(0,VALUE(Raw_Data!I482)),0)</f>
        <v>1</v>
      </c>
      <c r="J482" s="13">
        <f>IFERROR(VALUE(Raw_Data!J482),0)</f>
        <v>3317</v>
      </c>
      <c r="K482" s="14">
        <f>IFERROR(VALUE(Raw_Data!K482),0)</f>
        <v>0.02</v>
      </c>
      <c r="L482" t="str">
        <f>PROPER(TRIM(Raw_Data!L482))</f>
        <v>Returned</v>
      </c>
      <c r="M482" s="13">
        <f t="shared" si="56"/>
        <v>3317</v>
      </c>
      <c r="N482" s="13">
        <f t="shared" si="57"/>
        <v>66.34</v>
      </c>
      <c r="O482" s="13">
        <f t="shared" si="58"/>
        <v>3250.66</v>
      </c>
      <c r="P482" s="13">
        <f t="shared" si="59"/>
        <v>1990.2</v>
      </c>
      <c r="Q482" s="13">
        <f t="shared" si="60"/>
        <v>1260.46</v>
      </c>
      <c r="R482" s="10">
        <f t="shared" si="61"/>
        <v>0.387755102040816</v>
      </c>
      <c r="S482" t="str">
        <f t="shared" si="62"/>
        <v>Aug-2026</v>
      </c>
      <c r="T482" t="str">
        <f t="shared" si="63"/>
        <v>OK</v>
      </c>
    </row>
    <row r="483" spans="1:20">
      <c r="A483" t="str">
        <f>TRIM(Raw_Data!A483)</f>
        <v>ORD-10482</v>
      </c>
      <c r="B483" s="12">
        <f>IFERROR(IF(ISNUMBER(Raw_Data!B483),Raw_Data!B483,DATEVALUE(Raw_Data!B483)),"")</f>
        <v>46061</v>
      </c>
      <c r="C483" t="str">
        <f>PROPER(TRIM(Raw_Data!C483))</f>
        <v>Neha</v>
      </c>
      <c r="D483" t="str">
        <f>IF(TRIM(Raw_Data!D483)="Bangalore","Bengaluru",IF(TRIM(Raw_Data!D483)="Mysore","Mysuru",IF(TRIM(Raw_Data!D483)="Cochin","Kochi",PROPER(TRIM(Raw_Data!D483)))))</f>
        <v>Kochi</v>
      </c>
      <c r="E483" t="str">
        <f>PROPER(TRIM(Raw_Data!E483))</f>
        <v>Retail Store</v>
      </c>
      <c r="F483" t="str">
        <f>PROPER(TRIM(Raw_Data!F483))</f>
        <v>Enterprise</v>
      </c>
      <c r="G483" t="str">
        <f>PROPER(TRIM(Raw_Data!G483))</f>
        <v>Headset</v>
      </c>
      <c r="H483" t="str">
        <f>PROPER(TRIM(Raw_Data!H483))</f>
        <v>Headset Office</v>
      </c>
      <c r="I483">
        <f>IFERROR(MAX(0,VALUE(Raw_Data!I483)),0)</f>
        <v>7</v>
      </c>
      <c r="J483" s="13">
        <f>IFERROR(VALUE(Raw_Data!J483),0)</f>
        <v>3928</v>
      </c>
      <c r="K483" s="14">
        <f>IFERROR(VALUE(Raw_Data!K483),0)</f>
        <v>0.1</v>
      </c>
      <c r="L483" t="str">
        <f>PROPER(TRIM(Raw_Data!L483))</f>
        <v>Pending</v>
      </c>
      <c r="M483" s="13">
        <f t="shared" si="56"/>
        <v>27496</v>
      </c>
      <c r="N483" s="13">
        <f t="shared" si="57"/>
        <v>2749.6</v>
      </c>
      <c r="O483" s="13">
        <f t="shared" si="58"/>
        <v>24746.4</v>
      </c>
      <c r="P483" s="13">
        <f t="shared" si="59"/>
        <v>16497.6</v>
      </c>
      <c r="Q483" s="13">
        <f t="shared" si="60"/>
        <v>8248.8</v>
      </c>
      <c r="R483" s="10">
        <f t="shared" si="61"/>
        <v>0.333333333333333</v>
      </c>
      <c r="S483" t="str">
        <f t="shared" si="62"/>
        <v>Feb-2026</v>
      </c>
      <c r="T483" t="str">
        <f t="shared" si="63"/>
        <v>OK</v>
      </c>
    </row>
    <row r="484" spans="1:20">
      <c r="A484" t="str">
        <f>TRIM(Raw_Data!A484)</f>
        <v>ORD-10483</v>
      </c>
      <c r="B484" s="12" t="str">
        <f>IFERROR(IF(ISNUMBER(Raw_Data!B484),Raw_Data!B484,DATEVALUE(Raw_Data!B484)),"")</f>
        <v/>
      </c>
      <c r="C484" t="str">
        <f>PROPER(TRIM(Raw_Data!C484))</f>
        <v>Kiran</v>
      </c>
      <c r="D484" t="str">
        <f>IF(TRIM(Raw_Data!D484)="Bangalore","Bengaluru",IF(TRIM(Raw_Data!D484)="Mysore","Mysuru",IF(TRIM(Raw_Data!D484)="Cochin","Kochi",PROPER(TRIM(Raw_Data!D484)))))</f>
        <v>Hyderabad</v>
      </c>
      <c r="E484" t="str">
        <f>PROPER(TRIM(Raw_Data!E484))</f>
        <v>Corporate</v>
      </c>
      <c r="F484" t="str">
        <f>PROPER(TRIM(Raw_Data!F484))</f>
        <v>Enterprise</v>
      </c>
      <c r="G484" t="str">
        <f>PROPER(TRIM(Raw_Data!G484))</f>
        <v>Monitor</v>
      </c>
      <c r="H484" t="str">
        <f>PROPER(TRIM(Raw_Data!H484))</f>
        <v>Monitor 27</v>
      </c>
      <c r="I484">
        <f>IFERROR(MAX(0,VALUE(Raw_Data!I484)),0)</f>
        <v>2</v>
      </c>
      <c r="J484" s="13">
        <f>IFERROR(VALUE(Raw_Data!J484),0)</f>
        <v>21812</v>
      </c>
      <c r="K484" s="14">
        <f>IFERROR(VALUE(Raw_Data!K484),0)</f>
        <v>0.02</v>
      </c>
      <c r="L484" t="str">
        <f>PROPER(TRIM(Raw_Data!L484))</f>
        <v>Delivered</v>
      </c>
      <c r="M484" s="13">
        <f t="shared" si="56"/>
        <v>43624</v>
      </c>
      <c r="N484" s="13">
        <f t="shared" si="57"/>
        <v>872.48</v>
      </c>
      <c r="O484" s="13">
        <f t="shared" si="58"/>
        <v>42751.52</v>
      </c>
      <c r="P484" s="13">
        <f t="shared" si="59"/>
        <v>30536.8</v>
      </c>
      <c r="Q484" s="13">
        <f t="shared" si="60"/>
        <v>12214.72</v>
      </c>
      <c r="R484" s="10">
        <f t="shared" si="61"/>
        <v>0.285714285714286</v>
      </c>
      <c r="S484" t="str">
        <f t="shared" si="62"/>
        <v/>
      </c>
      <c r="T484" t="str">
        <f t="shared" si="63"/>
        <v>CHECK</v>
      </c>
    </row>
    <row r="485" spans="1:20">
      <c r="A485" t="str">
        <f>TRIM(Raw_Data!A485)</f>
        <v>ORD-10484</v>
      </c>
      <c r="B485" s="12">
        <f>IFERROR(IF(ISNUMBER(Raw_Data!B485),Raw_Data!B485,DATEVALUE(Raw_Data!B485)),"")</f>
        <v>46192</v>
      </c>
      <c r="C485" t="str">
        <f>PROPER(TRIM(Raw_Data!C485))</f>
        <v>Bhoomika</v>
      </c>
      <c r="D485" t="str">
        <f>IF(TRIM(Raw_Data!D485)="Bangalore","Bengaluru",IF(TRIM(Raw_Data!D485)="Mysore","Mysuru",IF(TRIM(Raw_Data!D485)="Cochin","Kochi",PROPER(TRIM(Raw_Data!D485)))))</f>
        <v>Chennai</v>
      </c>
      <c r="E485" t="str">
        <f>PROPER(TRIM(Raw_Data!E485))</f>
        <v>Corporate</v>
      </c>
      <c r="F485" t="str">
        <f>PROPER(TRIM(Raw_Data!F485))</f>
        <v>Consumer</v>
      </c>
      <c r="G485" t="str">
        <f>PROPER(TRIM(Raw_Data!G485))</f>
        <v>Mouse</v>
      </c>
      <c r="H485" t="str">
        <f>PROPER(TRIM(Raw_Data!H485))</f>
        <v>Mouse Ergonomic</v>
      </c>
      <c r="I485">
        <f>IFERROR(MAX(0,VALUE(Raw_Data!I485)),0)</f>
        <v>6</v>
      </c>
      <c r="J485" s="13">
        <f>IFERROR(VALUE(Raw_Data!J485),0)</f>
        <v>988</v>
      </c>
      <c r="K485" s="14">
        <f>IFERROR(VALUE(Raw_Data!K485),0)</f>
        <v>0.05</v>
      </c>
      <c r="L485" t="str">
        <f>PROPER(TRIM(Raw_Data!L485))</f>
        <v>Delivered</v>
      </c>
      <c r="M485" s="13">
        <f t="shared" si="56"/>
        <v>5928</v>
      </c>
      <c r="N485" s="13">
        <f t="shared" si="57"/>
        <v>296.4</v>
      </c>
      <c r="O485" s="13">
        <f t="shared" si="58"/>
        <v>5631.6</v>
      </c>
      <c r="P485" s="13">
        <f t="shared" si="59"/>
        <v>3260.4</v>
      </c>
      <c r="Q485" s="13">
        <f t="shared" si="60"/>
        <v>2371.2</v>
      </c>
      <c r="R485" s="10">
        <f t="shared" si="61"/>
        <v>0.421052631578947</v>
      </c>
      <c r="S485" t="str">
        <f t="shared" si="62"/>
        <v>Jun-2026</v>
      </c>
      <c r="T485" t="str">
        <f t="shared" si="63"/>
        <v>OK</v>
      </c>
    </row>
    <row r="486" spans="1:20">
      <c r="A486" t="str">
        <f>TRIM(Raw_Data!A486)</f>
        <v>ORD-10485</v>
      </c>
      <c r="B486" s="12">
        <f>IFERROR(IF(ISNUMBER(Raw_Data!B486),Raw_Data!B486,DATEVALUE(Raw_Data!B486)),"")</f>
        <v>46245</v>
      </c>
      <c r="C486" t="str">
        <f>PROPER(TRIM(Raw_Data!C486))</f>
        <v>Kiran</v>
      </c>
      <c r="D486" t="str">
        <f>IF(TRIM(Raw_Data!D486)="Bangalore","Bengaluru",IF(TRIM(Raw_Data!D486)="Mysore","Mysuru",IF(TRIM(Raw_Data!D486)="Cochin","Kochi",PROPER(TRIM(Raw_Data!D486)))))</f>
        <v>Kochi</v>
      </c>
      <c r="E486" t="str">
        <f>PROPER(TRIM(Raw_Data!E486))</f>
        <v>Retail Store</v>
      </c>
      <c r="F486" t="str">
        <f>PROPER(TRIM(Raw_Data!F486))</f>
        <v>Smb</v>
      </c>
      <c r="G486" t="str">
        <f>PROPER(TRIM(Raw_Data!G486))</f>
        <v>Mouse</v>
      </c>
      <c r="H486" t="str">
        <f>PROPER(TRIM(Raw_Data!H486))</f>
        <v>Mouse Basic</v>
      </c>
      <c r="I486">
        <f>IFERROR(MAX(0,VALUE(Raw_Data!I486)),0)</f>
        <v>5</v>
      </c>
      <c r="J486" s="13">
        <f>IFERROR(VALUE(Raw_Data!J486),0)</f>
        <v>1847</v>
      </c>
      <c r="K486" s="14">
        <f>IFERROR(VALUE(Raw_Data!K486),0)</f>
        <v>0.05</v>
      </c>
      <c r="L486" t="str">
        <f>PROPER(TRIM(Raw_Data!L486))</f>
        <v>Returned</v>
      </c>
      <c r="M486" s="13">
        <f t="shared" si="56"/>
        <v>9235</v>
      </c>
      <c r="N486" s="13">
        <f t="shared" si="57"/>
        <v>461.75</v>
      </c>
      <c r="O486" s="13">
        <f t="shared" si="58"/>
        <v>8773.25</v>
      </c>
      <c r="P486" s="13">
        <f t="shared" si="59"/>
        <v>5079.25</v>
      </c>
      <c r="Q486" s="13">
        <f t="shared" si="60"/>
        <v>3694</v>
      </c>
      <c r="R486" s="10">
        <f t="shared" si="61"/>
        <v>0.421052631578947</v>
      </c>
      <c r="S486" t="str">
        <f t="shared" si="62"/>
        <v>Aug-2026</v>
      </c>
      <c r="T486" t="str">
        <f t="shared" si="63"/>
        <v>OK</v>
      </c>
    </row>
    <row r="487" spans="1:20">
      <c r="A487" t="str">
        <f>TRIM(Raw_Data!A487)</f>
        <v>ORD-10486</v>
      </c>
      <c r="B487" s="12">
        <f>IFERROR(IF(ISNUMBER(Raw_Data!B487),Raw_Data!B487,DATEVALUE(Raw_Data!B487)),"")</f>
        <v>46166</v>
      </c>
      <c r="C487" t="str">
        <f>PROPER(TRIM(Raw_Data!C487))</f>
        <v>Ravi</v>
      </c>
      <c r="D487" t="str">
        <f>IF(TRIM(Raw_Data!D487)="Bangalore","Bengaluru",IF(TRIM(Raw_Data!D487)="Mysore","Mysuru",IF(TRIM(Raw_Data!D487)="Cochin","Kochi",PROPER(TRIM(Raw_Data!D487)))))</f>
        <v>Kochi</v>
      </c>
      <c r="E487" t="str">
        <f>PROPER(TRIM(Raw_Data!E487))</f>
        <v>Retail Store</v>
      </c>
      <c r="F487" t="str">
        <f>PROPER(TRIM(Raw_Data!F487))</f>
        <v>Consumer</v>
      </c>
      <c r="G487" t="str">
        <f>PROPER(TRIM(Raw_Data!G487))</f>
        <v>Headset</v>
      </c>
      <c r="H487" t="str">
        <f>PROPER(TRIM(Raw_Data!H487))</f>
        <v>Headset Office</v>
      </c>
      <c r="I487">
        <f>IFERROR(MAX(0,VALUE(Raw_Data!I487)),0)</f>
        <v>2</v>
      </c>
      <c r="J487" s="13">
        <f>IFERROR(VALUE(Raw_Data!J487),0)</f>
        <v>6428</v>
      </c>
      <c r="K487" s="14">
        <f>IFERROR(VALUE(Raw_Data!K487),0)</f>
        <v>0.1</v>
      </c>
      <c r="L487" t="str">
        <f>PROPER(TRIM(Raw_Data!L487))</f>
        <v>Returned</v>
      </c>
      <c r="M487" s="13">
        <f t="shared" si="56"/>
        <v>12856</v>
      </c>
      <c r="N487" s="13">
        <f t="shared" si="57"/>
        <v>1285.6</v>
      </c>
      <c r="O487" s="13">
        <f t="shared" si="58"/>
        <v>11570.4</v>
      </c>
      <c r="P487" s="13">
        <f t="shared" si="59"/>
        <v>7713.6</v>
      </c>
      <c r="Q487" s="13">
        <f t="shared" si="60"/>
        <v>3856.8</v>
      </c>
      <c r="R487" s="10">
        <f t="shared" si="61"/>
        <v>0.333333333333333</v>
      </c>
      <c r="S487" t="str">
        <f t="shared" si="62"/>
        <v>May-2026</v>
      </c>
      <c r="T487" t="str">
        <f t="shared" si="63"/>
        <v>OK</v>
      </c>
    </row>
    <row r="488" spans="1:20">
      <c r="A488" t="str">
        <f>TRIM(Raw_Data!A488)</f>
        <v>ORD-10487</v>
      </c>
      <c r="B488" s="12">
        <f>IFERROR(IF(ISNUMBER(Raw_Data!B488),Raw_Data!B488,DATEVALUE(Raw_Data!B488)),"")</f>
        <v>46032</v>
      </c>
      <c r="C488" t="str">
        <f>PROPER(TRIM(Raw_Data!C488))</f>
        <v>Asha</v>
      </c>
      <c r="D488" t="str">
        <f>IF(TRIM(Raw_Data!D488)="Bangalore","Bengaluru",IF(TRIM(Raw_Data!D488)="Mysore","Mysuru",IF(TRIM(Raw_Data!D488)="Cochin","Kochi",PROPER(TRIM(Raw_Data!D488)))))</f>
        <v>Kochi</v>
      </c>
      <c r="E488" t="str">
        <f>PROPER(TRIM(Raw_Data!E488))</f>
        <v>Retail Store</v>
      </c>
      <c r="F488" t="str">
        <f>PROPER(TRIM(Raw_Data!F488))</f>
        <v>Consumer</v>
      </c>
      <c r="G488" t="str">
        <f>PROPER(TRIM(Raw_Data!G488))</f>
        <v>Mouse</v>
      </c>
      <c r="H488" t="str">
        <f>PROPER(TRIM(Raw_Data!H488))</f>
        <v>Mouse Basic</v>
      </c>
      <c r="I488">
        <f>IFERROR(MAX(0,VALUE(Raw_Data!I488)),0)</f>
        <v>6</v>
      </c>
      <c r="J488" s="13">
        <f>IFERROR(VALUE(Raw_Data!J488),0)</f>
        <v>798</v>
      </c>
      <c r="K488" s="14">
        <f>IFERROR(VALUE(Raw_Data!K488),0)</f>
        <v>0</v>
      </c>
      <c r="L488" t="str">
        <f>PROPER(TRIM(Raw_Data!L488))</f>
        <v>Delivered</v>
      </c>
      <c r="M488" s="13">
        <f t="shared" si="56"/>
        <v>4788</v>
      </c>
      <c r="N488" s="13">
        <f t="shared" si="57"/>
        <v>0</v>
      </c>
      <c r="O488" s="13">
        <f t="shared" si="58"/>
        <v>4788</v>
      </c>
      <c r="P488" s="13">
        <f t="shared" si="59"/>
        <v>2633.4</v>
      </c>
      <c r="Q488" s="13">
        <f t="shared" si="60"/>
        <v>2154.6</v>
      </c>
      <c r="R488" s="10">
        <f t="shared" si="61"/>
        <v>0.45</v>
      </c>
      <c r="S488" t="str">
        <f t="shared" si="62"/>
        <v>Jan-2026</v>
      </c>
      <c r="T488" t="str">
        <f t="shared" si="63"/>
        <v>OK</v>
      </c>
    </row>
    <row r="489" spans="1:20">
      <c r="A489" t="str">
        <f>TRIM(Raw_Data!A489)</f>
        <v>ORD-10488</v>
      </c>
      <c r="B489" s="12">
        <f>IFERROR(IF(ISNUMBER(Raw_Data!B489),Raw_Data!B489,DATEVALUE(Raw_Data!B489)),"")</f>
        <v>46165</v>
      </c>
      <c r="C489" t="str">
        <f>PROPER(TRIM(Raw_Data!C489))</f>
        <v>Meghana</v>
      </c>
      <c r="D489" t="str">
        <f>IF(TRIM(Raw_Data!D489)="Bangalore","Bengaluru",IF(TRIM(Raw_Data!D489)="Mysore","Mysuru",IF(TRIM(Raw_Data!D489)="Cochin","Kochi",PROPER(TRIM(Raw_Data!D489)))))</f>
        <v>New Delhi</v>
      </c>
      <c r="E489" t="str">
        <f>PROPER(TRIM(Raw_Data!E489))</f>
        <v>Corporate</v>
      </c>
      <c r="F489" t="str">
        <f>PROPER(TRIM(Raw_Data!F489))</f>
        <v>Enterprise</v>
      </c>
      <c r="G489" t="str">
        <f>PROPER(TRIM(Raw_Data!G489))</f>
        <v>Headset</v>
      </c>
      <c r="H489" t="str">
        <f>PROPER(TRIM(Raw_Data!H489))</f>
        <v>Headset Office</v>
      </c>
      <c r="I489">
        <f>IFERROR(MAX(0,VALUE(Raw_Data!I489)),0)</f>
        <v>6</v>
      </c>
      <c r="J489" s="13">
        <f>IFERROR(VALUE(Raw_Data!J489),0)</f>
        <v>2228</v>
      </c>
      <c r="K489" s="14">
        <f>IFERROR(VALUE(Raw_Data!K489),0)</f>
        <v>0.05</v>
      </c>
      <c r="L489" t="str">
        <f>PROPER(TRIM(Raw_Data!L489))</f>
        <v>Cancelled</v>
      </c>
      <c r="M489" s="13">
        <f t="shared" si="56"/>
        <v>13368</v>
      </c>
      <c r="N489" s="13">
        <f t="shared" si="57"/>
        <v>668.4</v>
      </c>
      <c r="O489" s="13">
        <f t="shared" si="58"/>
        <v>12699.6</v>
      </c>
      <c r="P489" s="13">
        <f t="shared" si="59"/>
        <v>8020.8</v>
      </c>
      <c r="Q489" s="13">
        <f t="shared" si="60"/>
        <v>4678.8</v>
      </c>
      <c r="R489" s="10">
        <f t="shared" si="61"/>
        <v>0.368421052631579</v>
      </c>
      <c r="S489" t="str">
        <f t="shared" si="62"/>
        <v>May-2026</v>
      </c>
      <c r="T489" t="str">
        <f t="shared" si="63"/>
        <v>OK</v>
      </c>
    </row>
    <row r="490" spans="1:20">
      <c r="A490" t="str">
        <f>TRIM(Raw_Data!A490)</f>
        <v>ORD-10489</v>
      </c>
      <c r="B490" s="12">
        <f>IFERROR(IF(ISNUMBER(Raw_Data!B490),Raw_Data!B490,DATEVALUE(Raw_Data!B490)),"")</f>
        <v>46115</v>
      </c>
      <c r="C490" t="str">
        <f>PROPER(TRIM(Raw_Data!C490))</f>
        <v>Ravi</v>
      </c>
      <c r="D490" t="str">
        <f>IF(TRIM(Raw_Data!D490)="Bangalore","Bengaluru",IF(TRIM(Raw_Data!D490)="Mysore","Mysuru",IF(TRIM(Raw_Data!D490)="Cochin","Kochi",PROPER(TRIM(Raw_Data!D490)))))</f>
        <v>Delhi</v>
      </c>
      <c r="E490" t="str">
        <f>PROPER(TRIM(Raw_Data!E490))</f>
        <v>Corporate</v>
      </c>
      <c r="F490" t="str">
        <f>PROPER(TRIM(Raw_Data!F490))</f>
        <v>Consumer</v>
      </c>
      <c r="G490" t="str">
        <f>PROPER(TRIM(Raw_Data!G490))</f>
        <v>Monitor</v>
      </c>
      <c r="H490" t="str">
        <f>PROPER(TRIM(Raw_Data!H490))</f>
        <v>Monitor 24</v>
      </c>
      <c r="I490">
        <f>IFERROR(MAX(0,VALUE(Raw_Data!I490)),0)</f>
        <v>5</v>
      </c>
      <c r="J490" s="13">
        <f>IFERROR(VALUE(Raw_Data!J490),0)</f>
        <v>12652</v>
      </c>
      <c r="K490" s="14">
        <f>IFERROR(VALUE(Raw_Data!K490),0)</f>
        <v>0.1</v>
      </c>
      <c r="L490" t="str">
        <f>PROPER(TRIM(Raw_Data!L490))</f>
        <v>Cancelled</v>
      </c>
      <c r="M490" s="13">
        <f t="shared" si="56"/>
        <v>63260</v>
      </c>
      <c r="N490" s="13">
        <f t="shared" si="57"/>
        <v>6326</v>
      </c>
      <c r="O490" s="13">
        <f t="shared" si="58"/>
        <v>56934</v>
      </c>
      <c r="P490" s="13">
        <f t="shared" si="59"/>
        <v>44282</v>
      </c>
      <c r="Q490" s="13">
        <f t="shared" si="60"/>
        <v>12652</v>
      </c>
      <c r="R490" s="10">
        <f t="shared" si="61"/>
        <v>0.222222222222222</v>
      </c>
      <c r="S490" t="str">
        <f t="shared" si="62"/>
        <v>Apr-2026</v>
      </c>
      <c r="T490" t="str">
        <f t="shared" si="63"/>
        <v>OK</v>
      </c>
    </row>
    <row r="491" spans="1:20">
      <c r="A491" t="str">
        <f>TRIM(Raw_Data!A491)</f>
        <v>ORD-10490</v>
      </c>
      <c r="B491" s="12">
        <f>IFERROR(IF(ISNUMBER(Raw_Data!B491),Raw_Data!B491,DATEVALUE(Raw_Data!B491)),"")</f>
        <v>46247</v>
      </c>
      <c r="C491" t="str">
        <f>PROPER(TRIM(Raw_Data!C491))</f>
        <v>Meghana</v>
      </c>
      <c r="D491" t="str">
        <f>IF(TRIM(Raw_Data!D491)="Bangalore","Bengaluru",IF(TRIM(Raw_Data!D491)="Mysore","Mysuru",IF(TRIM(Raw_Data!D491)="Cochin","Kochi",PROPER(TRIM(Raw_Data!D491)))))</f>
        <v>Chennai</v>
      </c>
      <c r="E491" t="str">
        <f>PROPER(TRIM(Raw_Data!E491))</f>
        <v>Online</v>
      </c>
      <c r="F491" t="str">
        <f>PROPER(TRIM(Raw_Data!F491))</f>
        <v>Enterprise</v>
      </c>
      <c r="G491" t="str">
        <f>PROPER(TRIM(Raw_Data!G491))</f>
        <v>Keyboard</v>
      </c>
      <c r="H491" t="str">
        <f>PROPER(TRIM(Raw_Data!H491))</f>
        <v>Keyboard Office</v>
      </c>
      <c r="I491">
        <f>IFERROR(MAX(0,VALUE(Raw_Data!I491)),0)</f>
        <v>3</v>
      </c>
      <c r="J491" s="13">
        <f>IFERROR(VALUE(Raw_Data!J491),0)</f>
        <v>4825</v>
      </c>
      <c r="K491" s="14">
        <f>IFERROR(VALUE(Raw_Data!K491),0)</f>
        <v>0.15</v>
      </c>
      <c r="L491" t="str">
        <f>PROPER(TRIM(Raw_Data!L491))</f>
        <v>Delivered</v>
      </c>
      <c r="M491" s="13">
        <f t="shared" si="56"/>
        <v>14475</v>
      </c>
      <c r="N491" s="13">
        <f t="shared" si="57"/>
        <v>2171.25</v>
      </c>
      <c r="O491" s="13">
        <f t="shared" si="58"/>
        <v>12303.75</v>
      </c>
      <c r="P491" s="13">
        <f t="shared" si="59"/>
        <v>8395.5</v>
      </c>
      <c r="Q491" s="13">
        <f t="shared" si="60"/>
        <v>3908.25</v>
      </c>
      <c r="R491" s="10">
        <f t="shared" si="61"/>
        <v>0.317647058823529</v>
      </c>
      <c r="S491" t="str">
        <f t="shared" si="62"/>
        <v>Aug-2026</v>
      </c>
      <c r="T491" t="str">
        <f t="shared" si="63"/>
        <v>OK</v>
      </c>
    </row>
    <row r="492" spans="1:20">
      <c r="A492" t="str">
        <f>TRIM(Raw_Data!A492)</f>
        <v>ORD-10491</v>
      </c>
      <c r="B492" s="12">
        <f>IFERROR(IF(ISNUMBER(Raw_Data!B492),Raw_Data!B492,DATEVALUE(Raw_Data!B492)),"")</f>
        <v>46168</v>
      </c>
      <c r="C492" t="str">
        <f>PROPER(TRIM(Raw_Data!C492))</f>
        <v>Meghana</v>
      </c>
      <c r="D492" t="str">
        <f>IF(TRIM(Raw_Data!D492)="Bangalore","Bengaluru",IF(TRIM(Raw_Data!D492)="Mysore","Mysuru",IF(TRIM(Raw_Data!D492)="Cochin","Kochi",PROPER(TRIM(Raw_Data!D492)))))</f>
        <v>Hyderabad</v>
      </c>
      <c r="E492" t="str">
        <f>PROPER(TRIM(Raw_Data!E492))</f>
        <v>Corporate</v>
      </c>
      <c r="F492" t="str">
        <f>PROPER(TRIM(Raw_Data!F492))</f>
        <v>Consumer</v>
      </c>
      <c r="G492" t="str">
        <f>PROPER(TRIM(Raw_Data!G492))</f>
        <v>Monitor</v>
      </c>
      <c r="H492" t="str">
        <f>PROPER(TRIM(Raw_Data!H492))</f>
        <v>Monitor 27</v>
      </c>
      <c r="I492">
        <f>IFERROR(MAX(0,VALUE(Raw_Data!I492)),0)</f>
        <v>6</v>
      </c>
      <c r="J492" s="13">
        <f>IFERROR(VALUE(Raw_Data!J492),0)</f>
        <v>22094</v>
      </c>
      <c r="K492" s="14">
        <f>IFERROR(VALUE(Raw_Data!K492),0)</f>
        <v>0.05</v>
      </c>
      <c r="L492" t="str">
        <f>PROPER(TRIM(Raw_Data!L492))</f>
        <v>Pending</v>
      </c>
      <c r="M492" s="13">
        <f t="shared" si="56"/>
        <v>132564</v>
      </c>
      <c r="N492" s="13">
        <f t="shared" si="57"/>
        <v>6628.2</v>
      </c>
      <c r="O492" s="13">
        <f t="shared" si="58"/>
        <v>125935.8</v>
      </c>
      <c r="P492" s="13">
        <f t="shared" si="59"/>
        <v>92794.8</v>
      </c>
      <c r="Q492" s="13">
        <f t="shared" si="60"/>
        <v>33141</v>
      </c>
      <c r="R492" s="10">
        <f t="shared" si="61"/>
        <v>0.263157894736842</v>
      </c>
      <c r="S492" t="str">
        <f t="shared" si="62"/>
        <v>May-2026</v>
      </c>
      <c r="T492" t="str">
        <f t="shared" si="63"/>
        <v>OK</v>
      </c>
    </row>
    <row r="493" spans="1:20">
      <c r="A493" t="str">
        <f>TRIM(Raw_Data!A493)</f>
        <v>ORD-10492</v>
      </c>
      <c r="B493" s="12">
        <f>IFERROR(IF(ISNUMBER(Raw_Data!B493),Raw_Data!B493,DATEVALUE(Raw_Data!B493)),"")</f>
        <v>46081</v>
      </c>
      <c r="C493" t="str">
        <f>PROPER(TRIM(Raw_Data!C493))</f>
        <v>Priya</v>
      </c>
      <c r="D493" t="str">
        <f>IF(TRIM(Raw_Data!D493)="Bangalore","Bengaluru",IF(TRIM(Raw_Data!D493)="Mysore","Mysuru",IF(TRIM(Raw_Data!D493)="Cochin","Kochi",PROPER(TRIM(Raw_Data!D493)))))</f>
        <v>Pune</v>
      </c>
      <c r="E493" t="str">
        <f>PROPER(TRIM(Raw_Data!E493))</f>
        <v>Corporate</v>
      </c>
      <c r="F493" t="str">
        <f>PROPER(TRIM(Raw_Data!F493))</f>
        <v>Enterprise</v>
      </c>
      <c r="G493" t="str">
        <f>PROPER(TRIM(Raw_Data!G493))</f>
        <v>Keyboard</v>
      </c>
      <c r="H493" t="str">
        <f>PROPER(TRIM(Raw_Data!H493))</f>
        <v>Keyboard Office</v>
      </c>
      <c r="I493">
        <f>IFERROR(MAX(0,VALUE(Raw_Data!I493)),0)</f>
        <v>8</v>
      </c>
      <c r="J493" s="13">
        <f>IFERROR(VALUE(Raw_Data!J493),0)</f>
        <v>1635</v>
      </c>
      <c r="K493" s="14">
        <f>IFERROR(VALUE(Raw_Data!K493),0)</f>
        <v>0</v>
      </c>
      <c r="L493" t="str">
        <f>PROPER(TRIM(Raw_Data!L493))</f>
        <v>Cancelled</v>
      </c>
      <c r="M493" s="13">
        <f t="shared" si="56"/>
        <v>13080</v>
      </c>
      <c r="N493" s="13">
        <f t="shared" si="57"/>
        <v>0</v>
      </c>
      <c r="O493" s="13">
        <f t="shared" si="58"/>
        <v>13080</v>
      </c>
      <c r="P493" s="13">
        <f t="shared" si="59"/>
        <v>7586.4</v>
      </c>
      <c r="Q493" s="13">
        <f t="shared" si="60"/>
        <v>5493.6</v>
      </c>
      <c r="R493" s="10">
        <f t="shared" si="61"/>
        <v>0.42</v>
      </c>
      <c r="S493" t="str">
        <f t="shared" si="62"/>
        <v>Feb-2026</v>
      </c>
      <c r="T493" t="str">
        <f t="shared" si="63"/>
        <v>OK</v>
      </c>
    </row>
    <row r="494" spans="1:20">
      <c r="A494" t="str">
        <f>TRIM(Raw_Data!A494)</f>
        <v>ORD-10493</v>
      </c>
      <c r="B494" s="12">
        <f>IFERROR(IF(ISNUMBER(Raw_Data!B494),Raw_Data!B494,DATEVALUE(Raw_Data!B494)),"")</f>
        <v>46176</v>
      </c>
      <c r="C494" t="str">
        <f>PROPER(TRIM(Raw_Data!C494))</f>
        <v>Kiran</v>
      </c>
      <c r="D494" t="str">
        <f>IF(TRIM(Raw_Data!D494)="Bangalore","Bengaluru",IF(TRIM(Raw_Data!D494)="Mysore","Mysuru",IF(TRIM(Raw_Data!D494)="Cochin","Kochi",PROPER(TRIM(Raw_Data!D494)))))</f>
        <v>Hyderabad</v>
      </c>
      <c r="E494" t="str">
        <f>PROPER(TRIM(Raw_Data!E494))</f>
        <v>Corporate</v>
      </c>
      <c r="F494" t="str">
        <f>PROPER(TRIM(Raw_Data!F494))</f>
        <v>Smb</v>
      </c>
      <c r="G494" t="str">
        <f>PROPER(TRIM(Raw_Data!G494))</f>
        <v>Mouse</v>
      </c>
      <c r="H494" t="str">
        <f>PROPER(TRIM(Raw_Data!H494))</f>
        <v>Mouse Ergonomic</v>
      </c>
      <c r="I494">
        <f>IFERROR(MAX(0,VALUE(Raw_Data!I494)),0)</f>
        <v>5</v>
      </c>
      <c r="J494" s="13">
        <f>IFERROR(VALUE(Raw_Data!J494),0)</f>
        <v>1969</v>
      </c>
      <c r="K494" s="14">
        <f>IFERROR(VALUE(Raw_Data!K494),0)</f>
        <v>0.05</v>
      </c>
      <c r="L494" t="str">
        <f>PROPER(TRIM(Raw_Data!L494))</f>
        <v>Delivered</v>
      </c>
      <c r="M494" s="13">
        <f t="shared" si="56"/>
        <v>9845</v>
      </c>
      <c r="N494" s="13">
        <f t="shared" si="57"/>
        <v>492.25</v>
      </c>
      <c r="O494" s="13">
        <f t="shared" si="58"/>
        <v>9352.75</v>
      </c>
      <c r="P494" s="13">
        <f t="shared" si="59"/>
        <v>5414.75</v>
      </c>
      <c r="Q494" s="13">
        <f t="shared" si="60"/>
        <v>3938</v>
      </c>
      <c r="R494" s="10">
        <f t="shared" si="61"/>
        <v>0.421052631578947</v>
      </c>
      <c r="S494" t="str">
        <f t="shared" si="62"/>
        <v>Jun-2026</v>
      </c>
      <c r="T494" t="str">
        <f t="shared" si="63"/>
        <v>OK</v>
      </c>
    </row>
    <row r="495" spans="1:20">
      <c r="A495" t="str">
        <f>TRIM(Raw_Data!A495)</f>
        <v>ORD-10494</v>
      </c>
      <c r="B495" s="12">
        <f>IFERROR(IF(ISNUMBER(Raw_Data!B495),Raw_Data!B495,DATEVALUE(Raw_Data!B495)),"")</f>
        <v>46210</v>
      </c>
      <c r="C495" t="str">
        <f>PROPER(TRIM(Raw_Data!C495))</f>
        <v>Kiran</v>
      </c>
      <c r="D495" t="str">
        <f>IF(TRIM(Raw_Data!D495)="Bangalore","Bengaluru",IF(TRIM(Raw_Data!D495)="Mysore","Mysuru",IF(TRIM(Raw_Data!D495)="Cochin","Kochi",PROPER(TRIM(Raw_Data!D495)))))</f>
        <v>Hyderabad</v>
      </c>
      <c r="E495" t="str">
        <f>PROPER(TRIM(Raw_Data!E495))</f>
        <v>Retail Store</v>
      </c>
      <c r="F495" t="str">
        <f>PROPER(TRIM(Raw_Data!F495))</f>
        <v>Enterprise</v>
      </c>
      <c r="G495" t="str">
        <f>PROPER(TRIM(Raw_Data!G495))</f>
        <v>Monitor</v>
      </c>
      <c r="H495" t="str">
        <f>PROPER(TRIM(Raw_Data!H495))</f>
        <v>Monitor 24</v>
      </c>
      <c r="I495">
        <f>IFERROR(MAX(0,VALUE(Raw_Data!I495)),0)</f>
        <v>2</v>
      </c>
      <c r="J495" s="13">
        <f>IFERROR(VALUE(Raw_Data!J495),0)</f>
        <v>9966</v>
      </c>
      <c r="K495" s="14">
        <f>IFERROR(VALUE(Raw_Data!K495),0)</f>
        <v>0</v>
      </c>
      <c r="L495" t="str">
        <f>PROPER(TRIM(Raw_Data!L495))</f>
        <v>Pending</v>
      </c>
      <c r="M495" s="13">
        <f t="shared" si="56"/>
        <v>19932</v>
      </c>
      <c r="N495" s="13">
        <f t="shared" si="57"/>
        <v>0</v>
      </c>
      <c r="O495" s="13">
        <f t="shared" si="58"/>
        <v>19932</v>
      </c>
      <c r="P495" s="13">
        <f t="shared" si="59"/>
        <v>13952.4</v>
      </c>
      <c r="Q495" s="13">
        <f t="shared" si="60"/>
        <v>5979.6</v>
      </c>
      <c r="R495" s="10">
        <f t="shared" si="61"/>
        <v>0.3</v>
      </c>
      <c r="S495" t="str">
        <f t="shared" si="62"/>
        <v>Jul-2026</v>
      </c>
      <c r="T495" t="str">
        <f t="shared" si="63"/>
        <v>OK</v>
      </c>
    </row>
    <row r="496" spans="1:20">
      <c r="A496" t="str">
        <f>TRIM(Raw_Data!A496)</f>
        <v>ORD-10495</v>
      </c>
      <c r="B496" s="12">
        <f>IFERROR(IF(ISNUMBER(Raw_Data!B496),Raw_Data!B496,DATEVALUE(Raw_Data!B496)),"")</f>
        <v>46188</v>
      </c>
      <c r="C496" t="str">
        <f>PROPER(TRIM(Raw_Data!C496))</f>
        <v>Ravi</v>
      </c>
      <c r="D496" t="str">
        <f>IF(TRIM(Raw_Data!D496)="Bangalore","Bengaluru",IF(TRIM(Raw_Data!D496)="Mysore","Mysuru",IF(TRIM(Raw_Data!D496)="Cochin","Kochi",PROPER(TRIM(Raw_Data!D496)))))</f>
        <v>Mysuru</v>
      </c>
      <c r="E496" t="str">
        <f>PROPER(TRIM(Raw_Data!E496))</f>
        <v>Corporate</v>
      </c>
      <c r="F496" t="str">
        <f>PROPER(TRIM(Raw_Data!F496))</f>
        <v>Enterprise</v>
      </c>
      <c r="G496" t="str">
        <f>PROPER(TRIM(Raw_Data!G496))</f>
        <v>Laptop</v>
      </c>
      <c r="H496" t="str">
        <f>PROPER(TRIM(Raw_Data!H496))</f>
        <v>Laptop Air 13</v>
      </c>
      <c r="I496">
        <f>IFERROR(MAX(0,VALUE(Raw_Data!I496)),0)</f>
        <v>1</v>
      </c>
      <c r="J496" s="13">
        <f>IFERROR(VALUE(Raw_Data!J496),0)</f>
        <v>51162</v>
      </c>
      <c r="K496" s="14">
        <f>IFERROR(VALUE(Raw_Data!K496),0)</f>
        <v>0.1</v>
      </c>
      <c r="L496" t="str">
        <f>PROPER(TRIM(Raw_Data!L496))</f>
        <v>Delivered</v>
      </c>
      <c r="M496" s="13">
        <f t="shared" si="56"/>
        <v>51162</v>
      </c>
      <c r="N496" s="13">
        <f t="shared" si="57"/>
        <v>5116.2</v>
      </c>
      <c r="O496" s="13">
        <f t="shared" si="58"/>
        <v>46045.8</v>
      </c>
      <c r="P496" s="13">
        <f t="shared" si="59"/>
        <v>39906.36</v>
      </c>
      <c r="Q496" s="13">
        <f t="shared" si="60"/>
        <v>6139.44</v>
      </c>
      <c r="R496" s="10">
        <f t="shared" si="61"/>
        <v>0.133333333333333</v>
      </c>
      <c r="S496" t="str">
        <f t="shared" si="62"/>
        <v>Jun-2026</v>
      </c>
      <c r="T496" t="str">
        <f t="shared" si="63"/>
        <v>OK</v>
      </c>
    </row>
    <row r="497" spans="1:20">
      <c r="A497" t="str">
        <f>TRIM(Raw_Data!A497)</f>
        <v>ORD-10496</v>
      </c>
      <c r="B497" s="12">
        <f>IFERROR(IF(ISNUMBER(Raw_Data!B497),Raw_Data!B497,DATEVALUE(Raw_Data!B497)),"")</f>
        <v>46160</v>
      </c>
      <c r="C497" t="str">
        <f>PROPER(TRIM(Raw_Data!C497))</f>
        <v>Neha</v>
      </c>
      <c r="D497" t="str">
        <f>IF(TRIM(Raw_Data!D497)="Bangalore","Bengaluru",IF(TRIM(Raw_Data!D497)="Mysore","Mysuru",IF(TRIM(Raw_Data!D497)="Cochin","Kochi",PROPER(TRIM(Raw_Data!D497)))))</f>
        <v>Chennai</v>
      </c>
      <c r="E497" t="str">
        <f>PROPER(TRIM(Raw_Data!E497))</f>
        <v>Corporate</v>
      </c>
      <c r="F497" t="str">
        <f>PROPER(TRIM(Raw_Data!F497))</f>
        <v>Smb</v>
      </c>
      <c r="G497" t="str">
        <f>PROPER(TRIM(Raw_Data!G497))</f>
        <v>Monitor</v>
      </c>
      <c r="H497" t="str">
        <f>PROPER(TRIM(Raw_Data!H497))</f>
        <v>Monitor 27</v>
      </c>
      <c r="I497">
        <f>IFERROR(MAX(0,VALUE(Raw_Data!I497)),0)</f>
        <v>3</v>
      </c>
      <c r="J497" s="13">
        <f>IFERROR(VALUE(Raw_Data!J497),0)</f>
        <v>21260</v>
      </c>
      <c r="K497" s="14">
        <f>IFERROR(VALUE(Raw_Data!K497),0)</f>
        <v>0.1</v>
      </c>
      <c r="L497" t="str">
        <f>PROPER(TRIM(Raw_Data!L497))</f>
        <v>Delivered</v>
      </c>
      <c r="M497" s="13">
        <f t="shared" si="56"/>
        <v>63780</v>
      </c>
      <c r="N497" s="13">
        <f t="shared" si="57"/>
        <v>6378</v>
      </c>
      <c r="O497" s="13">
        <f t="shared" si="58"/>
        <v>57402</v>
      </c>
      <c r="P497" s="13">
        <f t="shared" si="59"/>
        <v>44646</v>
      </c>
      <c r="Q497" s="13">
        <f t="shared" si="60"/>
        <v>12756</v>
      </c>
      <c r="R497" s="10">
        <f t="shared" si="61"/>
        <v>0.222222222222222</v>
      </c>
      <c r="S497" t="str">
        <f t="shared" si="62"/>
        <v>May-2026</v>
      </c>
      <c r="T497" t="str">
        <f t="shared" si="63"/>
        <v>OK</v>
      </c>
    </row>
    <row r="498" spans="1:20">
      <c r="A498" t="str">
        <f>TRIM(Raw_Data!A498)</f>
        <v>ORD-10497</v>
      </c>
      <c r="B498" s="12">
        <f>IFERROR(IF(ISNUMBER(Raw_Data!B498),Raw_Data!B498,DATEVALUE(Raw_Data!B498)),"")</f>
        <v>46062</v>
      </c>
      <c r="C498" t="str">
        <f>PROPER(TRIM(Raw_Data!C498))</f>
        <v>Meghana</v>
      </c>
      <c r="D498" t="str">
        <f>IF(TRIM(Raw_Data!D498)="Bangalore","Bengaluru",IF(TRIM(Raw_Data!D498)="Mysore","Mysuru",IF(TRIM(Raw_Data!D498)="Cochin","Kochi",PROPER(TRIM(Raw_Data!D498)))))</f>
        <v>Mysuru</v>
      </c>
      <c r="E498" t="str">
        <f>PROPER(TRIM(Raw_Data!E498))</f>
        <v>Retail Store</v>
      </c>
      <c r="F498" t="str">
        <f>PROPER(TRIM(Raw_Data!F498))</f>
        <v>Smb</v>
      </c>
      <c r="G498" t="str">
        <f>PROPER(TRIM(Raw_Data!G498))</f>
        <v>Headset</v>
      </c>
      <c r="H498" t="str">
        <f>PROPER(TRIM(Raw_Data!H498))</f>
        <v>Headset Wireless</v>
      </c>
      <c r="I498">
        <f>IFERROR(MAX(0,VALUE(Raw_Data!I498)),0)</f>
        <v>2</v>
      </c>
      <c r="J498" s="13">
        <f>IFERROR(VALUE(Raw_Data!J498),0)</f>
        <v>6978</v>
      </c>
      <c r="K498" s="14">
        <f>IFERROR(VALUE(Raw_Data!K498),0)</f>
        <v>0.05</v>
      </c>
      <c r="L498" t="str">
        <f>PROPER(TRIM(Raw_Data!L498))</f>
        <v>Delivered</v>
      </c>
      <c r="M498" s="13">
        <f t="shared" si="56"/>
        <v>13956</v>
      </c>
      <c r="N498" s="13">
        <f t="shared" si="57"/>
        <v>697.8</v>
      </c>
      <c r="O498" s="13">
        <f t="shared" si="58"/>
        <v>13258.2</v>
      </c>
      <c r="P498" s="13">
        <f t="shared" si="59"/>
        <v>8373.6</v>
      </c>
      <c r="Q498" s="13">
        <f t="shared" si="60"/>
        <v>4884.6</v>
      </c>
      <c r="R498" s="10">
        <f t="shared" si="61"/>
        <v>0.368421052631579</v>
      </c>
      <c r="S498" t="str">
        <f t="shared" si="62"/>
        <v>Feb-2026</v>
      </c>
      <c r="T498" t="str">
        <f t="shared" si="63"/>
        <v>OK</v>
      </c>
    </row>
    <row r="499" spans="1:20">
      <c r="A499" t="str">
        <f>TRIM(Raw_Data!A499)</f>
        <v>ORD-10498</v>
      </c>
      <c r="B499" s="12">
        <f>IFERROR(IF(ISNUMBER(Raw_Data!B499),Raw_Data!B499,DATEVALUE(Raw_Data!B499)),"")</f>
        <v>46105</v>
      </c>
      <c r="C499" t="str">
        <f>PROPER(TRIM(Raw_Data!C499))</f>
        <v>Kiran</v>
      </c>
      <c r="D499" t="str">
        <f>IF(TRIM(Raw_Data!D499)="Bangalore","Bengaluru",IF(TRIM(Raw_Data!D499)="Mysore","Mysuru",IF(TRIM(Raw_Data!D499)="Cochin","Kochi",PROPER(TRIM(Raw_Data!D499)))))</f>
        <v>Kochi</v>
      </c>
      <c r="E499" t="str">
        <f>PROPER(TRIM(Raw_Data!E499))</f>
        <v>Retail Store</v>
      </c>
      <c r="F499" t="str">
        <f>PROPER(TRIM(Raw_Data!F499))</f>
        <v>Smb</v>
      </c>
      <c r="G499" t="str">
        <f>PROPER(TRIM(Raw_Data!G499))</f>
        <v>Headset</v>
      </c>
      <c r="H499" t="str">
        <f>PROPER(TRIM(Raw_Data!H499))</f>
        <v>Headset Office</v>
      </c>
      <c r="I499">
        <f>IFERROR(MAX(0,VALUE(Raw_Data!I499)),0)</f>
        <v>8</v>
      </c>
      <c r="J499" s="13">
        <f>IFERROR(VALUE(Raw_Data!J499),0)</f>
        <v>2609</v>
      </c>
      <c r="K499" s="14">
        <f>IFERROR(VALUE(Raw_Data!K499),0)</f>
        <v>0.02</v>
      </c>
      <c r="L499" t="str">
        <f>PROPER(TRIM(Raw_Data!L499))</f>
        <v>Delivered</v>
      </c>
      <c r="M499" s="13">
        <f t="shared" si="56"/>
        <v>20872</v>
      </c>
      <c r="N499" s="13">
        <f t="shared" si="57"/>
        <v>417.44</v>
      </c>
      <c r="O499" s="13">
        <f t="shared" si="58"/>
        <v>20454.56</v>
      </c>
      <c r="P499" s="13">
        <f t="shared" si="59"/>
        <v>12523.2</v>
      </c>
      <c r="Q499" s="13">
        <f t="shared" si="60"/>
        <v>7931.36</v>
      </c>
      <c r="R499" s="10">
        <f t="shared" si="61"/>
        <v>0.387755102040816</v>
      </c>
      <c r="S499" t="str">
        <f t="shared" si="62"/>
        <v>Mar-2026</v>
      </c>
      <c r="T499" t="str">
        <f t="shared" si="63"/>
        <v>OK</v>
      </c>
    </row>
    <row r="500" spans="1:20">
      <c r="A500" t="str">
        <f>TRIM(Raw_Data!A500)</f>
        <v>ORD-10499</v>
      </c>
      <c r="B500" s="12">
        <f>IFERROR(IF(ISNUMBER(Raw_Data!B500),Raw_Data!B500,DATEVALUE(Raw_Data!B500)),"")</f>
        <v>46033</v>
      </c>
      <c r="C500" t="str">
        <f>PROPER(TRIM(Raw_Data!C500))</f>
        <v>Bhoomika</v>
      </c>
      <c r="D500" t="str">
        <f>IF(TRIM(Raw_Data!D500)="Bangalore","Bengaluru",IF(TRIM(Raw_Data!D500)="Mysore","Mysuru",IF(TRIM(Raw_Data!D500)="Cochin","Kochi",PROPER(TRIM(Raw_Data!D500)))))</f>
        <v>Mumbai</v>
      </c>
      <c r="E500" t="str">
        <f>PROPER(TRIM(Raw_Data!E500))</f>
        <v>Corporate</v>
      </c>
      <c r="F500" t="str">
        <f>PROPER(TRIM(Raw_Data!F500))</f>
        <v>Consumer</v>
      </c>
      <c r="G500" t="str">
        <f>PROPER(TRIM(Raw_Data!G500))</f>
        <v>Monitor</v>
      </c>
      <c r="H500" t="str">
        <f>PROPER(TRIM(Raw_Data!H500))</f>
        <v>Monitor 24</v>
      </c>
      <c r="I500">
        <f>IFERROR(MAX(0,VALUE(Raw_Data!I500)),0)</f>
        <v>1</v>
      </c>
      <c r="J500" s="13">
        <f>IFERROR(VALUE(Raw_Data!J500),0)</f>
        <v>27719</v>
      </c>
      <c r="K500" s="14">
        <f>IFERROR(VALUE(Raw_Data!K500),0)</f>
        <v>0.1</v>
      </c>
      <c r="L500" t="str">
        <f>PROPER(TRIM(Raw_Data!L500))</f>
        <v>Delivered</v>
      </c>
      <c r="M500" s="13">
        <f t="shared" si="56"/>
        <v>27719</v>
      </c>
      <c r="N500" s="13">
        <f t="shared" si="57"/>
        <v>2771.9</v>
      </c>
      <c r="O500" s="13">
        <f t="shared" si="58"/>
        <v>24947.1</v>
      </c>
      <c r="P500" s="13">
        <f t="shared" si="59"/>
        <v>19403.3</v>
      </c>
      <c r="Q500" s="13">
        <f t="shared" si="60"/>
        <v>5543.8</v>
      </c>
      <c r="R500" s="10">
        <f t="shared" si="61"/>
        <v>0.222222222222222</v>
      </c>
      <c r="S500" t="str">
        <f t="shared" si="62"/>
        <v>Jan-2026</v>
      </c>
      <c r="T500" t="str">
        <f t="shared" si="63"/>
        <v>OK</v>
      </c>
    </row>
    <row r="501" spans="1:20">
      <c r="A501" t="str">
        <f>TRIM(Raw_Data!A501)</f>
        <v>ORD-10500</v>
      </c>
      <c r="B501" s="12">
        <f>IFERROR(IF(ISNUMBER(Raw_Data!B501),Raw_Data!B501,DATEVALUE(Raw_Data!B501)),"")</f>
        <v>46104</v>
      </c>
      <c r="C501" t="str">
        <f>PROPER(TRIM(Raw_Data!C501))</f>
        <v>Asha</v>
      </c>
      <c r="D501" t="str">
        <f>IF(TRIM(Raw_Data!D501)="Bangalore","Bengaluru",IF(TRIM(Raw_Data!D501)="Mysore","Mysuru",IF(TRIM(Raw_Data!D501)="Cochin","Kochi",PROPER(TRIM(Raw_Data!D501)))))</f>
        <v>Pune</v>
      </c>
      <c r="E501" t="str">
        <f>PROPER(TRIM(Raw_Data!E501))</f>
        <v>Retail Store</v>
      </c>
      <c r="F501" t="str">
        <f>PROPER(TRIM(Raw_Data!F501))</f>
        <v>Enterprise</v>
      </c>
      <c r="G501" t="str">
        <f>PROPER(TRIM(Raw_Data!G501))</f>
        <v>Laptop</v>
      </c>
      <c r="H501" t="str">
        <f>PROPER(TRIM(Raw_Data!H501))</f>
        <v>Business Laptop 15</v>
      </c>
      <c r="I501">
        <f>IFERROR(MAX(0,VALUE(Raw_Data!I501)),0)</f>
        <v>4</v>
      </c>
      <c r="J501" s="13">
        <f>IFERROR(VALUE(Raw_Data!J501),0)</f>
        <v>77458</v>
      </c>
      <c r="K501" s="14">
        <f>IFERROR(VALUE(Raw_Data!K501),0)</f>
        <v>0.15</v>
      </c>
      <c r="L501" t="str">
        <f>PROPER(TRIM(Raw_Data!L501))</f>
        <v>Delivered</v>
      </c>
      <c r="M501" s="13">
        <f t="shared" si="56"/>
        <v>309832</v>
      </c>
      <c r="N501" s="13">
        <f t="shared" si="57"/>
        <v>46474.8</v>
      </c>
      <c r="O501" s="13">
        <f t="shared" si="58"/>
        <v>263357.2</v>
      </c>
      <c r="P501" s="13">
        <f t="shared" si="59"/>
        <v>241668.96</v>
      </c>
      <c r="Q501" s="13">
        <f t="shared" si="60"/>
        <v>21688.24</v>
      </c>
      <c r="R501" s="10">
        <f t="shared" si="61"/>
        <v>0.0823529411764705</v>
      </c>
      <c r="S501" t="str">
        <f t="shared" si="62"/>
        <v>Mar-2026</v>
      </c>
      <c r="T501" t="str">
        <f t="shared" si="63"/>
        <v>OK</v>
      </c>
    </row>
    <row r="502" spans="1:20">
      <c r="A502" t="str">
        <f>TRIM(Raw_Data!A502)</f>
        <v>ORD-10501</v>
      </c>
      <c r="B502" s="12">
        <f>IFERROR(IF(ISNUMBER(Raw_Data!B502),Raw_Data!B502,DATEVALUE(Raw_Data!B502)),"")</f>
        <v>46197</v>
      </c>
      <c r="C502" t="str">
        <f>PROPER(TRIM(Raw_Data!C502))</f>
        <v>Meghana</v>
      </c>
      <c r="D502" t="str">
        <f>IF(TRIM(Raw_Data!D502)="Bangalore","Bengaluru",IF(TRIM(Raw_Data!D502)="Mysore","Mysuru",IF(TRIM(Raw_Data!D502)="Cochin","Kochi",PROPER(TRIM(Raw_Data!D502)))))</f>
        <v>Mumbai</v>
      </c>
      <c r="E502" t="str">
        <f>PROPER(TRIM(Raw_Data!E502))</f>
        <v>Corporate</v>
      </c>
      <c r="F502" t="str">
        <f>PROPER(TRIM(Raw_Data!F502))</f>
        <v>Consumer</v>
      </c>
      <c r="G502" t="str">
        <f>PROPER(TRIM(Raw_Data!G502))</f>
        <v>Headset</v>
      </c>
      <c r="H502" t="str">
        <f>PROPER(TRIM(Raw_Data!H502))</f>
        <v>Headset Office</v>
      </c>
      <c r="I502">
        <f>IFERROR(MAX(0,VALUE(Raw_Data!I502)),0)</f>
        <v>7</v>
      </c>
      <c r="J502" s="13">
        <f>IFERROR(VALUE(Raw_Data!J502),0)</f>
        <v>4906</v>
      </c>
      <c r="K502" s="14">
        <f>IFERROR(VALUE(Raw_Data!K502),0)</f>
        <v>0.08</v>
      </c>
      <c r="L502" t="str">
        <f>PROPER(TRIM(Raw_Data!L502))</f>
        <v>Delivered</v>
      </c>
      <c r="M502" s="13">
        <f t="shared" si="56"/>
        <v>34342</v>
      </c>
      <c r="N502" s="13">
        <f t="shared" si="57"/>
        <v>2747.36</v>
      </c>
      <c r="O502" s="13">
        <f t="shared" si="58"/>
        <v>31594.64</v>
      </c>
      <c r="P502" s="13">
        <f t="shared" si="59"/>
        <v>20605.2</v>
      </c>
      <c r="Q502" s="13">
        <f t="shared" si="60"/>
        <v>10989.44</v>
      </c>
      <c r="R502" s="10">
        <f t="shared" si="61"/>
        <v>0.347826086956522</v>
      </c>
      <c r="S502" t="str">
        <f t="shared" si="62"/>
        <v>Jun-2026</v>
      </c>
      <c r="T502" t="str">
        <f t="shared" si="63"/>
        <v>OK</v>
      </c>
    </row>
    <row r="503" spans="1:20">
      <c r="A503" t="str">
        <f>TRIM(Raw_Data!A503)</f>
        <v>ORD-10502</v>
      </c>
      <c r="B503" s="12">
        <f>IFERROR(IF(ISNUMBER(Raw_Data!B503),Raw_Data!B503,DATEVALUE(Raw_Data!B503)),"")</f>
        <v>46160</v>
      </c>
      <c r="C503" t="str">
        <f>PROPER(TRIM(Raw_Data!C503))</f>
        <v>Meghana</v>
      </c>
      <c r="D503" t="str">
        <f>IF(TRIM(Raw_Data!D503)="Bangalore","Bengaluru",IF(TRIM(Raw_Data!D503)="Mysore","Mysuru",IF(TRIM(Raw_Data!D503)="Cochin","Kochi",PROPER(TRIM(Raw_Data!D503)))))</f>
        <v>Mumbai</v>
      </c>
      <c r="E503" t="str">
        <f>PROPER(TRIM(Raw_Data!E503))</f>
        <v>Retail Store</v>
      </c>
      <c r="F503" t="str">
        <f>PROPER(TRIM(Raw_Data!F503))</f>
        <v>Consumer</v>
      </c>
      <c r="G503" t="str">
        <f>PROPER(TRIM(Raw_Data!G503))</f>
        <v>Keyboard</v>
      </c>
      <c r="H503" t="str">
        <f>PROPER(TRIM(Raw_Data!H503))</f>
        <v>Keyboard Wireless</v>
      </c>
      <c r="I503">
        <f>IFERROR(MAX(0,VALUE(Raw_Data!I503)),0)</f>
        <v>5</v>
      </c>
      <c r="J503" s="13">
        <f>IFERROR(VALUE(Raw_Data!J503),0)</f>
        <v>3546</v>
      </c>
      <c r="K503" s="14">
        <f>IFERROR(VALUE(Raw_Data!K503),0)</f>
        <v>0</v>
      </c>
      <c r="L503" t="str">
        <f>PROPER(TRIM(Raw_Data!L503))</f>
        <v>Delivered</v>
      </c>
      <c r="M503" s="13">
        <f t="shared" si="56"/>
        <v>17730</v>
      </c>
      <c r="N503" s="13">
        <f t="shared" si="57"/>
        <v>0</v>
      </c>
      <c r="O503" s="13">
        <f t="shared" si="58"/>
        <v>17730</v>
      </c>
      <c r="P503" s="13">
        <f t="shared" si="59"/>
        <v>10283.4</v>
      </c>
      <c r="Q503" s="13">
        <f t="shared" si="60"/>
        <v>7446.6</v>
      </c>
      <c r="R503" s="10">
        <f t="shared" si="61"/>
        <v>0.42</v>
      </c>
      <c r="S503" t="str">
        <f t="shared" si="62"/>
        <v>May-2026</v>
      </c>
      <c r="T503" t="str">
        <f t="shared" si="63"/>
        <v>OK</v>
      </c>
    </row>
    <row r="504" spans="1:20">
      <c r="A504" t="str">
        <f>TRIM(Raw_Data!A504)</f>
        <v>ORD-10503</v>
      </c>
      <c r="B504" s="12">
        <f>IFERROR(IF(ISNUMBER(Raw_Data!B504),Raw_Data!B504,DATEVALUE(Raw_Data!B504)),"")</f>
        <v>46134</v>
      </c>
      <c r="C504" t="str">
        <f>PROPER(TRIM(Raw_Data!C504))</f>
        <v>Asha</v>
      </c>
      <c r="D504" t="str">
        <f>IF(TRIM(Raw_Data!D504)="Bangalore","Bengaluru",IF(TRIM(Raw_Data!D504)="Mysore","Mysuru",IF(TRIM(Raw_Data!D504)="Cochin","Kochi",PROPER(TRIM(Raw_Data!D504)))))</f>
        <v>Mysuru</v>
      </c>
      <c r="E504" t="str">
        <f>PROPER(TRIM(Raw_Data!E504))</f>
        <v>Retail Store</v>
      </c>
      <c r="F504" t="str">
        <f>PROPER(TRIM(Raw_Data!F504))</f>
        <v>Enterprise</v>
      </c>
      <c r="G504" t="str">
        <f>PROPER(TRIM(Raw_Data!G504))</f>
        <v>Headset</v>
      </c>
      <c r="H504" t="str">
        <f>PROPER(TRIM(Raw_Data!H504))</f>
        <v>Headset Wireless</v>
      </c>
      <c r="I504">
        <f>IFERROR(MAX(0,VALUE(Raw_Data!I504)),0)</f>
        <v>4</v>
      </c>
      <c r="J504" s="13">
        <f>IFERROR(VALUE(Raw_Data!J504),0)</f>
        <v>5625</v>
      </c>
      <c r="K504" s="14">
        <f>IFERROR(VALUE(Raw_Data!K504),0)</f>
        <v>0.02</v>
      </c>
      <c r="L504" t="str">
        <f>PROPER(TRIM(Raw_Data!L504))</f>
        <v>Returned</v>
      </c>
      <c r="M504" s="13">
        <f t="shared" si="56"/>
        <v>22500</v>
      </c>
      <c r="N504" s="13">
        <f t="shared" si="57"/>
        <v>450</v>
      </c>
      <c r="O504" s="13">
        <f t="shared" si="58"/>
        <v>22050</v>
      </c>
      <c r="P504" s="13">
        <f t="shared" si="59"/>
        <v>13500</v>
      </c>
      <c r="Q504" s="13">
        <f t="shared" si="60"/>
        <v>8550</v>
      </c>
      <c r="R504" s="10">
        <f t="shared" si="61"/>
        <v>0.387755102040816</v>
      </c>
      <c r="S504" t="str">
        <f t="shared" si="62"/>
        <v>Apr-2026</v>
      </c>
      <c r="T504" t="str">
        <f t="shared" si="63"/>
        <v>OK</v>
      </c>
    </row>
    <row r="505" spans="1:20">
      <c r="A505" t="str">
        <f>TRIM(Raw_Data!A505)</f>
        <v>ORD-10504</v>
      </c>
      <c r="B505" s="12">
        <f>IFERROR(IF(ISNUMBER(Raw_Data!B505),Raw_Data!B505,DATEVALUE(Raw_Data!B505)),"")</f>
        <v>46135</v>
      </c>
      <c r="C505" t="str">
        <f>PROPER(TRIM(Raw_Data!C505))</f>
        <v>Ravi</v>
      </c>
      <c r="D505" t="str">
        <f>IF(TRIM(Raw_Data!D505)="Bangalore","Bengaluru",IF(TRIM(Raw_Data!D505)="Mysore","Mysuru",IF(TRIM(Raw_Data!D505)="Cochin","Kochi",PROPER(TRIM(Raw_Data!D505)))))</f>
        <v>Chennai</v>
      </c>
      <c r="E505" t="str">
        <f>PROPER(TRIM(Raw_Data!E505))</f>
        <v>Corporate</v>
      </c>
      <c r="F505" t="str">
        <f>PROPER(TRIM(Raw_Data!F505))</f>
        <v>Consumer</v>
      </c>
      <c r="G505" t="str">
        <f>PROPER(TRIM(Raw_Data!G505))</f>
        <v>Laptop</v>
      </c>
      <c r="H505" t="str">
        <f>PROPER(TRIM(Raw_Data!H505))</f>
        <v>Laptop Air 13</v>
      </c>
      <c r="I505">
        <f>IFERROR(MAX(0,VALUE(Raw_Data!I505)),0)</f>
        <v>0</v>
      </c>
      <c r="J505" s="13">
        <f>IFERROR(VALUE(Raw_Data!J505),0)</f>
        <v>61107</v>
      </c>
      <c r="K505" s="14">
        <f>IFERROR(VALUE(Raw_Data!K505),0)</f>
        <v>0.1</v>
      </c>
      <c r="L505" t="str">
        <f>PROPER(TRIM(Raw_Data!L505))</f>
        <v>Delivered</v>
      </c>
      <c r="M505" s="13">
        <f t="shared" si="56"/>
        <v>0</v>
      </c>
      <c r="N505" s="13">
        <f t="shared" si="57"/>
        <v>0</v>
      </c>
      <c r="O505" s="13">
        <f t="shared" si="58"/>
        <v>0</v>
      </c>
      <c r="P505" s="13">
        <f t="shared" si="59"/>
        <v>0</v>
      </c>
      <c r="Q505" s="13">
        <f t="shared" si="60"/>
        <v>0</v>
      </c>
      <c r="R505" s="10">
        <f t="shared" si="61"/>
        <v>0</v>
      </c>
      <c r="S505" t="str">
        <f t="shared" si="62"/>
        <v>Apr-2026</v>
      </c>
      <c r="T505" t="str">
        <f t="shared" si="63"/>
        <v>CHECK</v>
      </c>
    </row>
    <row r="506" spans="1:20">
      <c r="A506" t="str">
        <f>TRIM(Raw_Data!A506)</f>
        <v>ORD-10505</v>
      </c>
      <c r="B506" s="12">
        <f>IFERROR(IF(ISNUMBER(Raw_Data!B506),Raw_Data!B506,DATEVALUE(Raw_Data!B506)),"")</f>
        <v>46053</v>
      </c>
      <c r="C506" t="str">
        <f>PROPER(TRIM(Raw_Data!C506))</f>
        <v>Kiran</v>
      </c>
      <c r="D506" t="str">
        <f>IF(TRIM(Raw_Data!D506)="Bangalore","Bengaluru",IF(TRIM(Raw_Data!D506)="Mysore","Mysuru",IF(TRIM(Raw_Data!D506)="Cochin","Kochi",PROPER(TRIM(Raw_Data!D506)))))</f>
        <v>Bengaluru</v>
      </c>
      <c r="E506" t="str">
        <f>PROPER(TRIM(Raw_Data!E506))</f>
        <v>Corporate</v>
      </c>
      <c r="F506" t="str">
        <f>PROPER(TRIM(Raw_Data!F506))</f>
        <v>Enterprise</v>
      </c>
      <c r="G506" t="str">
        <f>PROPER(TRIM(Raw_Data!G506))</f>
        <v>Monitor</v>
      </c>
      <c r="H506" t="str">
        <f>PROPER(TRIM(Raw_Data!H506))</f>
        <v>Monitor 32</v>
      </c>
      <c r="I506">
        <f>IFERROR(MAX(0,VALUE(Raw_Data!I506)),0)</f>
        <v>8</v>
      </c>
      <c r="J506" s="13">
        <f>IFERROR(VALUE(Raw_Data!J506),0)</f>
        <v>26877</v>
      </c>
      <c r="K506" s="14">
        <f>IFERROR(VALUE(Raw_Data!K506),0)</f>
        <v>0.1</v>
      </c>
      <c r="L506" t="str">
        <f>PROPER(TRIM(Raw_Data!L506))</f>
        <v>Returned</v>
      </c>
      <c r="M506" s="13">
        <f t="shared" si="56"/>
        <v>215016</v>
      </c>
      <c r="N506" s="13">
        <f t="shared" si="57"/>
        <v>21501.6</v>
      </c>
      <c r="O506" s="13">
        <f t="shared" si="58"/>
        <v>193514.4</v>
      </c>
      <c r="P506" s="13">
        <f t="shared" si="59"/>
        <v>150511.2</v>
      </c>
      <c r="Q506" s="13">
        <f t="shared" si="60"/>
        <v>43003.2</v>
      </c>
      <c r="R506" s="10">
        <f t="shared" si="61"/>
        <v>0.222222222222222</v>
      </c>
      <c r="S506" t="str">
        <f t="shared" si="62"/>
        <v>Jan-2026</v>
      </c>
      <c r="T506" t="str">
        <f t="shared" si="63"/>
        <v>OK</v>
      </c>
    </row>
    <row r="507" spans="1:20">
      <c r="A507" t="str">
        <f>TRIM(Raw_Data!A507)</f>
        <v>ORD-10506</v>
      </c>
      <c r="B507" s="12">
        <f>IFERROR(IF(ISNUMBER(Raw_Data!B507),Raw_Data!B507,DATEVALUE(Raw_Data!B507)),"")</f>
        <v>46122</v>
      </c>
      <c r="C507" t="str">
        <f>PROPER(TRIM(Raw_Data!C507))</f>
        <v>Meghana</v>
      </c>
      <c r="D507" t="str">
        <f>IF(TRIM(Raw_Data!D507)="Bangalore","Bengaluru",IF(TRIM(Raw_Data!D507)="Mysore","Mysuru",IF(TRIM(Raw_Data!D507)="Cochin","Kochi",PROPER(TRIM(Raw_Data!D507)))))</f>
        <v>New Delhi</v>
      </c>
      <c r="E507" t="str">
        <f>PROPER(TRIM(Raw_Data!E507))</f>
        <v>Corporate</v>
      </c>
      <c r="F507" t="str">
        <f>PROPER(TRIM(Raw_Data!F507))</f>
        <v>Enterprise</v>
      </c>
      <c r="G507" t="str">
        <f>PROPER(TRIM(Raw_Data!G507))</f>
        <v>Keyboard</v>
      </c>
      <c r="H507" t="str">
        <f>PROPER(TRIM(Raw_Data!H507))</f>
        <v>Keyboard Wireless</v>
      </c>
      <c r="I507">
        <f>IFERROR(MAX(0,VALUE(Raw_Data!I507)),0)</f>
        <v>8</v>
      </c>
      <c r="J507" s="13">
        <f>IFERROR(VALUE(Raw_Data!J507),0)</f>
        <v>3656</v>
      </c>
      <c r="K507" s="14">
        <f>IFERROR(VALUE(Raw_Data!K507),0)</f>
        <v>0.08</v>
      </c>
      <c r="L507" t="str">
        <f>PROPER(TRIM(Raw_Data!L507))</f>
        <v>Returned</v>
      </c>
      <c r="M507" s="13">
        <f t="shared" si="56"/>
        <v>29248</v>
      </c>
      <c r="N507" s="13">
        <f t="shared" si="57"/>
        <v>2339.84</v>
      </c>
      <c r="O507" s="13">
        <f t="shared" si="58"/>
        <v>26908.16</v>
      </c>
      <c r="P507" s="13">
        <f t="shared" si="59"/>
        <v>16963.84</v>
      </c>
      <c r="Q507" s="13">
        <f t="shared" si="60"/>
        <v>9944.32</v>
      </c>
      <c r="R507" s="10">
        <f t="shared" si="61"/>
        <v>0.369565217391304</v>
      </c>
      <c r="S507" t="str">
        <f t="shared" si="62"/>
        <v>Apr-2026</v>
      </c>
      <c r="T507" t="str">
        <f t="shared" si="63"/>
        <v>OK</v>
      </c>
    </row>
    <row r="508" spans="1:20">
      <c r="A508" t="str">
        <f>TRIM(Raw_Data!A508)</f>
        <v>ORD-10507</v>
      </c>
      <c r="B508" s="12">
        <f>IFERROR(IF(ISNUMBER(Raw_Data!B508),Raw_Data!B508,DATEVALUE(Raw_Data!B508)),"")</f>
        <v>46158</v>
      </c>
      <c r="C508" t="str">
        <f>PROPER(TRIM(Raw_Data!C508))</f>
        <v>Kiran</v>
      </c>
      <c r="D508" t="str">
        <f>IF(TRIM(Raw_Data!D508)="Bangalore","Bengaluru",IF(TRIM(Raw_Data!D508)="Mysore","Mysuru",IF(TRIM(Raw_Data!D508)="Cochin","Kochi",PROPER(TRIM(Raw_Data!D508)))))</f>
        <v>Pune</v>
      </c>
      <c r="E508" t="str">
        <f>PROPER(TRIM(Raw_Data!E508))</f>
        <v>Retail Store</v>
      </c>
      <c r="F508" t="str">
        <f>PROPER(TRIM(Raw_Data!F508))</f>
        <v>Smb</v>
      </c>
      <c r="G508" t="str">
        <f>PROPER(TRIM(Raw_Data!G508))</f>
        <v>Monitor</v>
      </c>
      <c r="H508" t="str">
        <f>PROPER(TRIM(Raw_Data!H508))</f>
        <v>Monitor 24</v>
      </c>
      <c r="I508">
        <f>IFERROR(MAX(0,VALUE(Raw_Data!I508)),0)</f>
        <v>6</v>
      </c>
      <c r="J508" s="13">
        <f>IFERROR(VALUE(Raw_Data!J508),0)</f>
        <v>27624</v>
      </c>
      <c r="K508" s="14">
        <f>IFERROR(VALUE(Raw_Data!K508),0)</f>
        <v>0.08</v>
      </c>
      <c r="L508" t="str">
        <f>PROPER(TRIM(Raw_Data!L508))</f>
        <v>Cancelled</v>
      </c>
      <c r="M508" s="13">
        <f t="shared" si="56"/>
        <v>165744</v>
      </c>
      <c r="N508" s="13">
        <f t="shared" si="57"/>
        <v>13259.52</v>
      </c>
      <c r="O508" s="13">
        <f t="shared" si="58"/>
        <v>152484.48</v>
      </c>
      <c r="P508" s="13">
        <f t="shared" si="59"/>
        <v>116020.8</v>
      </c>
      <c r="Q508" s="13">
        <f t="shared" si="60"/>
        <v>36463.68</v>
      </c>
      <c r="R508" s="10">
        <f t="shared" si="61"/>
        <v>0.239130434782609</v>
      </c>
      <c r="S508" t="str">
        <f t="shared" si="62"/>
        <v>May-2026</v>
      </c>
      <c r="T508" t="str">
        <f t="shared" si="63"/>
        <v>OK</v>
      </c>
    </row>
    <row r="509" spans="1:20">
      <c r="A509" t="str">
        <f>TRIM(Raw_Data!A509)</f>
        <v>ORD-10508</v>
      </c>
      <c r="B509" s="12">
        <f>IFERROR(IF(ISNUMBER(Raw_Data!B509),Raw_Data!B509,DATEVALUE(Raw_Data!B509)),"")</f>
        <v>46063</v>
      </c>
      <c r="C509" t="str">
        <f>PROPER(TRIM(Raw_Data!C509))</f>
        <v>Priya</v>
      </c>
      <c r="D509" t="str">
        <f>IF(TRIM(Raw_Data!D509)="Bangalore","Bengaluru",IF(TRIM(Raw_Data!D509)="Mysore","Mysuru",IF(TRIM(Raw_Data!D509)="Cochin","Kochi",PROPER(TRIM(Raw_Data!D509)))))</f>
        <v>Kochi</v>
      </c>
      <c r="E509" t="str">
        <f>PROPER(TRIM(Raw_Data!E509))</f>
        <v>Online</v>
      </c>
      <c r="F509" t="str">
        <f>PROPER(TRIM(Raw_Data!F509))</f>
        <v>Enterprise</v>
      </c>
      <c r="G509" t="str">
        <f>PROPER(TRIM(Raw_Data!G509))</f>
        <v>Mouse</v>
      </c>
      <c r="H509" t="str">
        <f>PROPER(TRIM(Raw_Data!H509))</f>
        <v>Mouse Basic</v>
      </c>
      <c r="I509">
        <f>IFERROR(MAX(0,VALUE(Raw_Data!I509)),0)</f>
        <v>3</v>
      </c>
      <c r="J509" s="13">
        <f>IFERROR(VALUE(Raw_Data!J509),0)</f>
        <v>1545</v>
      </c>
      <c r="K509" s="14">
        <f>IFERROR(VALUE(Raw_Data!K509),0)</f>
        <v>0.05</v>
      </c>
      <c r="L509" t="str">
        <f>PROPER(TRIM(Raw_Data!L509))</f>
        <v>Returned</v>
      </c>
      <c r="M509" s="13">
        <f t="shared" si="56"/>
        <v>4635</v>
      </c>
      <c r="N509" s="13">
        <f t="shared" si="57"/>
        <v>231.75</v>
      </c>
      <c r="O509" s="13">
        <f t="shared" si="58"/>
        <v>4403.25</v>
      </c>
      <c r="P509" s="13">
        <f t="shared" si="59"/>
        <v>2549.25</v>
      </c>
      <c r="Q509" s="13">
        <f t="shared" si="60"/>
        <v>1854</v>
      </c>
      <c r="R509" s="10">
        <f t="shared" si="61"/>
        <v>0.421052631578947</v>
      </c>
      <c r="S509" t="str">
        <f t="shared" si="62"/>
        <v>Feb-2026</v>
      </c>
      <c r="T509" t="str">
        <f t="shared" si="63"/>
        <v>OK</v>
      </c>
    </row>
    <row r="510" spans="1:20">
      <c r="A510" t="str">
        <f>TRIM(Raw_Data!A510)</f>
        <v>ORD-10509</v>
      </c>
      <c r="B510" s="12">
        <f>IFERROR(IF(ISNUMBER(Raw_Data!B510),Raw_Data!B510,DATEVALUE(Raw_Data!B510)),"")</f>
        <v>46047</v>
      </c>
      <c r="C510" t="str">
        <f>PROPER(TRIM(Raw_Data!C510))</f>
        <v>Meghana</v>
      </c>
      <c r="D510" t="str">
        <f>IF(TRIM(Raw_Data!D510)="Bangalore","Bengaluru",IF(TRIM(Raw_Data!D510)="Mysore","Mysuru",IF(TRIM(Raw_Data!D510)="Cochin","Kochi",PROPER(TRIM(Raw_Data!D510)))))</f>
        <v>Bengaluru</v>
      </c>
      <c r="E510" t="str">
        <f>PROPER(TRIM(Raw_Data!E510))</f>
        <v>Corporate</v>
      </c>
      <c r="F510" t="str">
        <f>PROPER(TRIM(Raw_Data!F510))</f>
        <v>Consumer</v>
      </c>
      <c r="G510" t="str">
        <f>PROPER(TRIM(Raw_Data!G510))</f>
        <v>Laptop</v>
      </c>
      <c r="H510" t="str">
        <f>PROPER(TRIM(Raw_Data!H510))</f>
        <v>Laptop Pro 14</v>
      </c>
      <c r="I510">
        <f>IFERROR(MAX(0,VALUE(Raw_Data!I510)),0)</f>
        <v>6</v>
      </c>
      <c r="J510" s="13">
        <f>IFERROR(VALUE(Raw_Data!J510),0)</f>
        <v>45568</v>
      </c>
      <c r="K510" s="14">
        <f>IFERROR(VALUE(Raw_Data!K510),0)</f>
        <v>0.02</v>
      </c>
      <c r="L510" t="str">
        <f>PROPER(TRIM(Raw_Data!L510))</f>
        <v>Returned</v>
      </c>
      <c r="M510" s="13">
        <f t="shared" si="56"/>
        <v>273408</v>
      </c>
      <c r="N510" s="13">
        <f t="shared" si="57"/>
        <v>5468.16</v>
      </c>
      <c r="O510" s="13">
        <f t="shared" si="58"/>
        <v>267939.84</v>
      </c>
      <c r="P510" s="13">
        <f t="shared" si="59"/>
        <v>213258.24</v>
      </c>
      <c r="Q510" s="13">
        <f t="shared" si="60"/>
        <v>54681.6</v>
      </c>
      <c r="R510" s="10">
        <f t="shared" si="61"/>
        <v>0.204081632653061</v>
      </c>
      <c r="S510" t="str">
        <f t="shared" si="62"/>
        <v>Jan-2026</v>
      </c>
      <c r="T510" t="str">
        <f t="shared" si="63"/>
        <v>OK</v>
      </c>
    </row>
    <row r="511" spans="1:20">
      <c r="A511" t="str">
        <f>TRIM(Raw_Data!A511)</f>
        <v>ORD-10510</v>
      </c>
      <c r="B511" s="12">
        <f>IFERROR(IF(ISNUMBER(Raw_Data!B511),Raw_Data!B511,DATEVALUE(Raw_Data!B511)),"")</f>
        <v>46129</v>
      </c>
      <c r="C511" t="str">
        <f>PROPER(TRIM(Raw_Data!C511))</f>
        <v>Neha</v>
      </c>
      <c r="D511" t="str">
        <f>IF(TRIM(Raw_Data!D511)="Bangalore","Bengaluru",IF(TRIM(Raw_Data!D511)="Mysore","Mysuru",IF(TRIM(Raw_Data!D511)="Cochin","Kochi",PROPER(TRIM(Raw_Data!D511)))))</f>
        <v>Kochi</v>
      </c>
      <c r="E511" t="str">
        <f>PROPER(TRIM(Raw_Data!E511))</f>
        <v>Retail Store</v>
      </c>
      <c r="F511" t="str">
        <f>PROPER(TRIM(Raw_Data!F511))</f>
        <v>Enterprise</v>
      </c>
      <c r="G511" t="str">
        <f>PROPER(TRIM(Raw_Data!G511))</f>
        <v>Laptop</v>
      </c>
      <c r="H511" t="str">
        <f>PROPER(TRIM(Raw_Data!H511))</f>
        <v>Business Laptop 15</v>
      </c>
      <c r="I511">
        <f>IFERROR(MAX(0,VALUE(Raw_Data!I511)),0)</f>
        <v>4</v>
      </c>
      <c r="J511" s="13">
        <f>IFERROR(VALUE(Raw_Data!J511),0)</f>
        <v>55373</v>
      </c>
      <c r="K511" s="14">
        <f>IFERROR(VALUE(Raw_Data!K511),0)</f>
        <v>0</v>
      </c>
      <c r="L511" t="str">
        <f>PROPER(TRIM(Raw_Data!L511))</f>
        <v>Returned</v>
      </c>
      <c r="M511" s="13">
        <f t="shared" si="56"/>
        <v>221492</v>
      </c>
      <c r="N511" s="13">
        <f t="shared" si="57"/>
        <v>0</v>
      </c>
      <c r="O511" s="13">
        <f t="shared" si="58"/>
        <v>221492</v>
      </c>
      <c r="P511" s="13">
        <f t="shared" si="59"/>
        <v>172763.76</v>
      </c>
      <c r="Q511" s="13">
        <f t="shared" si="60"/>
        <v>48728.24</v>
      </c>
      <c r="R511" s="10">
        <f t="shared" si="61"/>
        <v>0.22</v>
      </c>
      <c r="S511" t="str">
        <f t="shared" si="62"/>
        <v>Apr-2026</v>
      </c>
      <c r="T511" t="str">
        <f t="shared" si="63"/>
        <v>OK</v>
      </c>
    </row>
    <row r="512" spans="1:20">
      <c r="A512" t="str">
        <f>TRIM(Raw_Data!A512)</f>
        <v>ORD-10511</v>
      </c>
      <c r="B512" s="12">
        <f>IFERROR(IF(ISNUMBER(Raw_Data!B512),Raw_Data!B512,DATEVALUE(Raw_Data!B512)),"")</f>
        <v>46148</v>
      </c>
      <c r="C512" t="str">
        <f>PROPER(TRIM(Raw_Data!C512))</f>
        <v>Ravi</v>
      </c>
      <c r="D512" t="str">
        <f>IF(TRIM(Raw_Data!D512)="Bangalore","Bengaluru",IF(TRIM(Raw_Data!D512)="Mysore","Mysuru",IF(TRIM(Raw_Data!D512)="Cochin","Kochi",PROPER(TRIM(Raw_Data!D512)))))</f>
        <v>Delhi</v>
      </c>
      <c r="E512" t="str">
        <f>PROPER(TRIM(Raw_Data!E512))</f>
        <v>Corporate</v>
      </c>
      <c r="F512" t="str">
        <f>PROPER(TRIM(Raw_Data!F512))</f>
        <v>Consumer</v>
      </c>
      <c r="G512" t="str">
        <f>PROPER(TRIM(Raw_Data!G512))</f>
        <v>Headset</v>
      </c>
      <c r="H512" t="str">
        <f>PROPER(TRIM(Raw_Data!H512))</f>
        <v>Headset Wireless</v>
      </c>
      <c r="I512">
        <f>IFERROR(MAX(0,VALUE(Raw_Data!I512)),0)</f>
        <v>5</v>
      </c>
      <c r="J512" s="13">
        <f>IFERROR(VALUE(Raw_Data!J512),0)</f>
        <v>2605</v>
      </c>
      <c r="K512" s="14">
        <f>IFERROR(VALUE(Raw_Data!K512),0)</f>
        <v>0.15</v>
      </c>
      <c r="L512" t="str">
        <f>PROPER(TRIM(Raw_Data!L512))</f>
        <v>Pending</v>
      </c>
      <c r="M512" s="13">
        <f t="shared" si="56"/>
        <v>13025</v>
      </c>
      <c r="N512" s="13">
        <f t="shared" si="57"/>
        <v>1953.75</v>
      </c>
      <c r="O512" s="13">
        <f t="shared" si="58"/>
        <v>11071.25</v>
      </c>
      <c r="P512" s="13">
        <f t="shared" si="59"/>
        <v>7815</v>
      </c>
      <c r="Q512" s="13">
        <f t="shared" si="60"/>
        <v>3256.25</v>
      </c>
      <c r="R512" s="10">
        <f t="shared" si="61"/>
        <v>0.294117647058824</v>
      </c>
      <c r="S512" t="str">
        <f t="shared" si="62"/>
        <v>May-2026</v>
      </c>
      <c r="T512" t="str">
        <f t="shared" si="63"/>
        <v>OK</v>
      </c>
    </row>
    <row r="513" spans="1:20">
      <c r="A513" t="str">
        <f>TRIM(Raw_Data!A513)</f>
        <v>ORD-10512</v>
      </c>
      <c r="B513" s="12">
        <f>IFERROR(IF(ISNUMBER(Raw_Data!B513),Raw_Data!B513,DATEVALUE(Raw_Data!B513)),"")</f>
        <v>46087</v>
      </c>
      <c r="C513" t="str">
        <f>PROPER(TRIM(Raw_Data!C513))</f>
        <v>Bhoomika</v>
      </c>
      <c r="D513" t="str">
        <f>IF(TRIM(Raw_Data!D513)="Bangalore","Bengaluru",IF(TRIM(Raw_Data!D513)="Mysore","Mysuru",IF(TRIM(Raw_Data!D513)="Cochin","Kochi",PROPER(TRIM(Raw_Data!D513)))))</f>
        <v>Mumbai</v>
      </c>
      <c r="E513" t="str">
        <f>PROPER(TRIM(Raw_Data!E513))</f>
        <v>Online</v>
      </c>
      <c r="F513" t="str">
        <f>PROPER(TRIM(Raw_Data!F513))</f>
        <v>Consumer</v>
      </c>
      <c r="G513" t="str">
        <f>PROPER(TRIM(Raw_Data!G513))</f>
        <v>Monitor</v>
      </c>
      <c r="H513" t="str">
        <f>PROPER(TRIM(Raw_Data!H513))</f>
        <v>Monitor 32</v>
      </c>
      <c r="I513">
        <f>IFERROR(MAX(0,VALUE(Raw_Data!I513)),0)</f>
        <v>1</v>
      </c>
      <c r="J513" s="13">
        <f>IFERROR(VALUE(Raw_Data!J513),0)</f>
        <v>0</v>
      </c>
      <c r="K513" s="14">
        <f>IFERROR(VALUE(Raw_Data!K513),0)</f>
        <v>0.15</v>
      </c>
      <c r="L513" t="str">
        <f>PROPER(TRIM(Raw_Data!L513))</f>
        <v>Delivered</v>
      </c>
      <c r="M513" s="13">
        <f t="shared" si="56"/>
        <v>0</v>
      </c>
      <c r="N513" s="13">
        <f t="shared" si="57"/>
        <v>0</v>
      </c>
      <c r="O513" s="13">
        <f t="shared" si="58"/>
        <v>0</v>
      </c>
      <c r="P513" s="13">
        <f t="shared" si="59"/>
        <v>0</v>
      </c>
      <c r="Q513" s="13">
        <f t="shared" si="60"/>
        <v>0</v>
      </c>
      <c r="R513" s="10">
        <f t="shared" si="61"/>
        <v>0</v>
      </c>
      <c r="S513" t="str">
        <f t="shared" si="62"/>
        <v>Mar-2026</v>
      </c>
      <c r="T513" t="str">
        <f t="shared" si="63"/>
        <v>CHECK</v>
      </c>
    </row>
    <row r="514" spans="1:20">
      <c r="A514" t="str">
        <f>TRIM(Raw_Data!A514)</f>
        <v>ORD-10513</v>
      </c>
      <c r="B514" s="12">
        <f>IFERROR(IF(ISNUMBER(Raw_Data!B514),Raw_Data!B514,DATEVALUE(Raw_Data!B514)),"")</f>
        <v>46074</v>
      </c>
      <c r="C514" t="str">
        <f>PROPER(TRIM(Raw_Data!C514))</f>
        <v>Arjun</v>
      </c>
      <c r="D514" t="str">
        <f>IF(TRIM(Raw_Data!D514)="Bangalore","Bengaluru",IF(TRIM(Raw_Data!D514)="Mysore","Mysuru",IF(TRIM(Raw_Data!D514)="Cochin","Kochi",PROPER(TRIM(Raw_Data!D514)))))</f>
        <v>Kochi</v>
      </c>
      <c r="E514" t="str">
        <f>PROPER(TRIM(Raw_Data!E514))</f>
        <v>Retail Store</v>
      </c>
      <c r="F514" t="str">
        <f>PROPER(TRIM(Raw_Data!F514))</f>
        <v>Smb</v>
      </c>
      <c r="G514" t="str">
        <f>PROPER(TRIM(Raw_Data!G514))</f>
        <v>Mouse</v>
      </c>
      <c r="H514" t="str">
        <f>PROPER(TRIM(Raw_Data!H514))</f>
        <v>Mouse Ergonomic</v>
      </c>
      <c r="I514">
        <f>IFERROR(MAX(0,VALUE(Raw_Data!I514)),0)</f>
        <v>7</v>
      </c>
      <c r="J514" s="13">
        <f>IFERROR(VALUE(Raw_Data!J514),0)</f>
        <v>0</v>
      </c>
      <c r="K514" s="14">
        <f>IFERROR(VALUE(Raw_Data!K514),0)</f>
        <v>0.08</v>
      </c>
      <c r="L514" t="str">
        <f>PROPER(TRIM(Raw_Data!L514))</f>
        <v>Returned</v>
      </c>
      <c r="M514" s="13">
        <f t="shared" ref="M514:M577" si="64">I514*J514</f>
        <v>0</v>
      </c>
      <c r="N514" s="13">
        <f t="shared" ref="N514:N577" si="65">M514*K514</f>
        <v>0</v>
      </c>
      <c r="O514" s="13">
        <f t="shared" ref="O514:O577" si="66">M514-N514</f>
        <v>0</v>
      </c>
      <c r="P514" s="13">
        <f t="shared" ref="P514:P577" si="67">M514*IF(G514="Laptop",0.78,IF(G514="Monitor",0.7,IF(G514="Keyboard",0.58,IF(G514="Mouse",0.55,0.6))))</f>
        <v>0</v>
      </c>
      <c r="Q514" s="13">
        <f t="shared" ref="Q514:Q577" si="68">O514-P514</f>
        <v>0</v>
      </c>
      <c r="R514" s="10">
        <f t="shared" ref="R514:R577" si="69">IFERROR(Q514/O514,0)</f>
        <v>0</v>
      </c>
      <c r="S514" t="str">
        <f t="shared" ref="S514:S577" si="70">IF(B514="","",TEXT(B514,"mmm-yyyy"))</f>
        <v>Feb-2026</v>
      </c>
      <c r="T514" t="str">
        <f t="shared" ref="T514:T577" si="71">IF(OR(A514="",B514="",I514&lt;=0,J514&lt;=0,L514=""),"CHECK","OK")</f>
        <v>CHECK</v>
      </c>
    </row>
    <row r="515" spans="1:20">
      <c r="A515" t="str">
        <f>TRIM(Raw_Data!A515)</f>
        <v>ORD-10514</v>
      </c>
      <c r="B515" s="12">
        <f>IFERROR(IF(ISNUMBER(Raw_Data!B515),Raw_Data!B515,DATEVALUE(Raw_Data!B515)),"")</f>
        <v>46085</v>
      </c>
      <c r="C515" t="str">
        <f>PROPER(TRIM(Raw_Data!C515))</f>
        <v>Arjun</v>
      </c>
      <c r="D515" t="str">
        <f>IF(TRIM(Raw_Data!D515)="Bangalore","Bengaluru",IF(TRIM(Raw_Data!D515)="Mysore","Mysuru",IF(TRIM(Raw_Data!D515)="Cochin","Kochi",PROPER(TRIM(Raw_Data!D515)))))</f>
        <v>Delhi</v>
      </c>
      <c r="E515" t="str">
        <f>PROPER(TRIM(Raw_Data!E515))</f>
        <v>Online</v>
      </c>
      <c r="F515" t="str">
        <f>PROPER(TRIM(Raw_Data!F515))</f>
        <v>Enterprise</v>
      </c>
      <c r="G515" t="str">
        <f>PROPER(TRIM(Raw_Data!G515))</f>
        <v>Laptop</v>
      </c>
      <c r="H515" t="str">
        <f>PROPER(TRIM(Raw_Data!H515))</f>
        <v>Laptop Pro 14</v>
      </c>
      <c r="I515">
        <f>IFERROR(MAX(0,VALUE(Raw_Data!I515)),0)</f>
        <v>1</v>
      </c>
      <c r="J515" s="13">
        <f>IFERROR(VALUE(Raw_Data!J515),0)</f>
        <v>49257</v>
      </c>
      <c r="K515" s="14">
        <f>IFERROR(VALUE(Raw_Data!K515),0)</f>
        <v>0.15</v>
      </c>
      <c r="L515" t="str">
        <f>PROPER(TRIM(Raw_Data!L515))</f>
        <v>Delivered</v>
      </c>
      <c r="M515" s="13">
        <f t="shared" si="64"/>
        <v>49257</v>
      </c>
      <c r="N515" s="13">
        <f t="shared" si="65"/>
        <v>7388.55</v>
      </c>
      <c r="O515" s="13">
        <f t="shared" si="66"/>
        <v>41868.45</v>
      </c>
      <c r="P515" s="13">
        <f t="shared" si="67"/>
        <v>38420.46</v>
      </c>
      <c r="Q515" s="13">
        <f t="shared" si="68"/>
        <v>3447.99</v>
      </c>
      <c r="R515" s="10">
        <f t="shared" si="69"/>
        <v>0.0823529411764705</v>
      </c>
      <c r="S515" t="str">
        <f t="shared" si="70"/>
        <v>Mar-2026</v>
      </c>
      <c r="T515" t="str">
        <f t="shared" si="71"/>
        <v>OK</v>
      </c>
    </row>
    <row r="516" spans="1:20">
      <c r="A516" t="str">
        <f>TRIM(Raw_Data!A516)</f>
        <v>ORD-10515</v>
      </c>
      <c r="B516" s="12">
        <f>IFERROR(IF(ISNUMBER(Raw_Data!B516),Raw_Data!B516,DATEVALUE(Raw_Data!B516)),"")</f>
        <v>46046</v>
      </c>
      <c r="C516" t="str">
        <f>PROPER(TRIM(Raw_Data!C516))</f>
        <v>Meghana</v>
      </c>
      <c r="D516" t="str">
        <f>IF(TRIM(Raw_Data!D516)="Bangalore","Bengaluru",IF(TRIM(Raw_Data!D516)="Mysore","Mysuru",IF(TRIM(Raw_Data!D516)="Cochin","Kochi",PROPER(TRIM(Raw_Data!D516)))))</f>
        <v>Kochi</v>
      </c>
      <c r="E516" t="str">
        <f>PROPER(TRIM(Raw_Data!E516))</f>
        <v>Corporate</v>
      </c>
      <c r="F516" t="str">
        <f>PROPER(TRIM(Raw_Data!F516))</f>
        <v>Enterprise</v>
      </c>
      <c r="G516" t="str">
        <f>PROPER(TRIM(Raw_Data!G516))</f>
        <v>Laptop</v>
      </c>
      <c r="H516" t="str">
        <f>PROPER(TRIM(Raw_Data!H516))</f>
        <v>Laptop Pro 14</v>
      </c>
      <c r="I516">
        <f>IFERROR(MAX(0,VALUE(Raw_Data!I516)),0)</f>
        <v>6</v>
      </c>
      <c r="J516" s="13">
        <f>IFERROR(VALUE(Raw_Data!J516),0)</f>
        <v>60274</v>
      </c>
      <c r="K516" s="14">
        <f>IFERROR(VALUE(Raw_Data!K516),0)</f>
        <v>0.15</v>
      </c>
      <c r="L516" t="str">
        <f>PROPER(TRIM(Raw_Data!L516))</f>
        <v>Cancelled</v>
      </c>
      <c r="M516" s="13">
        <f t="shared" si="64"/>
        <v>361644</v>
      </c>
      <c r="N516" s="13">
        <f t="shared" si="65"/>
        <v>54246.6</v>
      </c>
      <c r="O516" s="13">
        <f t="shared" si="66"/>
        <v>307397.4</v>
      </c>
      <c r="P516" s="13">
        <f t="shared" si="67"/>
        <v>282082.32</v>
      </c>
      <c r="Q516" s="13">
        <f t="shared" si="68"/>
        <v>25315.08</v>
      </c>
      <c r="R516" s="10">
        <f t="shared" si="69"/>
        <v>0.0823529411764706</v>
      </c>
      <c r="S516" t="str">
        <f t="shared" si="70"/>
        <v>Jan-2026</v>
      </c>
      <c r="T516" t="str">
        <f t="shared" si="71"/>
        <v>OK</v>
      </c>
    </row>
    <row r="517" spans="1:20">
      <c r="A517" t="str">
        <f>TRIM(Raw_Data!A517)</f>
        <v>ORD-10516</v>
      </c>
      <c r="B517" s="12">
        <f>IFERROR(IF(ISNUMBER(Raw_Data!B517),Raw_Data!B517,DATEVALUE(Raw_Data!B517)),"")</f>
        <v>46071</v>
      </c>
      <c r="C517" t="str">
        <f>PROPER(TRIM(Raw_Data!C517))</f>
        <v>Kiran</v>
      </c>
      <c r="D517" t="str">
        <f>IF(TRIM(Raw_Data!D517)="Bangalore","Bengaluru",IF(TRIM(Raw_Data!D517)="Mysore","Mysuru",IF(TRIM(Raw_Data!D517)="Cochin","Kochi",PROPER(TRIM(Raw_Data!D517)))))</f>
        <v>Chennai</v>
      </c>
      <c r="E517" t="str">
        <f>PROPER(TRIM(Raw_Data!E517))</f>
        <v>Retail Store</v>
      </c>
      <c r="F517" t="str">
        <f>PROPER(TRIM(Raw_Data!F517))</f>
        <v>Enterprise</v>
      </c>
      <c r="G517" t="str">
        <f>PROPER(TRIM(Raw_Data!G517))</f>
        <v>Laptop</v>
      </c>
      <c r="H517" t="str">
        <f>PROPER(TRIM(Raw_Data!H517))</f>
        <v>Business Laptop 15</v>
      </c>
      <c r="I517">
        <f>IFERROR(MAX(0,VALUE(Raw_Data!I517)),0)</f>
        <v>7</v>
      </c>
      <c r="J517" s="13">
        <f>IFERROR(VALUE(Raw_Data!J517),0)</f>
        <v>57333</v>
      </c>
      <c r="K517" s="14">
        <f>IFERROR(VALUE(Raw_Data!K517),0)</f>
        <v>0.15</v>
      </c>
      <c r="L517" t="str">
        <f>PROPER(TRIM(Raw_Data!L517))</f>
        <v>Cancelled</v>
      </c>
      <c r="M517" s="13">
        <f t="shared" si="64"/>
        <v>401331</v>
      </c>
      <c r="N517" s="13">
        <f t="shared" si="65"/>
        <v>60199.65</v>
      </c>
      <c r="O517" s="13">
        <f t="shared" si="66"/>
        <v>341131.35</v>
      </c>
      <c r="P517" s="13">
        <f t="shared" si="67"/>
        <v>313038.18</v>
      </c>
      <c r="Q517" s="13">
        <f t="shared" si="68"/>
        <v>28093.17</v>
      </c>
      <c r="R517" s="10">
        <f t="shared" si="69"/>
        <v>0.0823529411764705</v>
      </c>
      <c r="S517" t="str">
        <f t="shared" si="70"/>
        <v>Feb-2026</v>
      </c>
      <c r="T517" t="str">
        <f t="shared" si="71"/>
        <v>OK</v>
      </c>
    </row>
    <row r="518" spans="1:20">
      <c r="A518" t="str">
        <f>TRIM(Raw_Data!A518)</f>
        <v>ORD-10517</v>
      </c>
      <c r="B518" s="12">
        <f>IFERROR(IF(ISNUMBER(Raw_Data!B518),Raw_Data!B518,DATEVALUE(Raw_Data!B518)),"")</f>
        <v>46210</v>
      </c>
      <c r="C518" t="str">
        <f>PROPER(TRIM(Raw_Data!C518))</f>
        <v>Ravi</v>
      </c>
      <c r="D518" t="str">
        <f>IF(TRIM(Raw_Data!D518)="Bangalore","Bengaluru",IF(TRIM(Raw_Data!D518)="Mysore","Mysuru",IF(TRIM(Raw_Data!D518)="Cochin","Kochi",PROPER(TRIM(Raw_Data!D518)))))</f>
        <v>Kochi</v>
      </c>
      <c r="E518" t="str">
        <f>PROPER(TRIM(Raw_Data!E518))</f>
        <v>Retail Store</v>
      </c>
      <c r="F518" t="str">
        <f>PROPER(TRIM(Raw_Data!F518))</f>
        <v>Consumer</v>
      </c>
      <c r="G518" t="str">
        <f>PROPER(TRIM(Raw_Data!G518))</f>
        <v>Laptop</v>
      </c>
      <c r="H518" t="str">
        <f>PROPER(TRIM(Raw_Data!H518))</f>
        <v>Business Laptop 15</v>
      </c>
      <c r="I518">
        <f>IFERROR(MAX(0,VALUE(Raw_Data!I518)),0)</f>
        <v>6</v>
      </c>
      <c r="J518" s="13">
        <f>IFERROR(VALUE(Raw_Data!J518),0)</f>
        <v>50239</v>
      </c>
      <c r="K518" s="14">
        <f>IFERROR(VALUE(Raw_Data!K518),0)</f>
        <v>0.1</v>
      </c>
      <c r="L518" t="str">
        <f>PROPER(TRIM(Raw_Data!L518))</f>
        <v>Delivered</v>
      </c>
      <c r="M518" s="13">
        <f t="shared" si="64"/>
        <v>301434</v>
      </c>
      <c r="N518" s="13">
        <f t="shared" si="65"/>
        <v>30143.4</v>
      </c>
      <c r="O518" s="13">
        <f t="shared" si="66"/>
        <v>271290.6</v>
      </c>
      <c r="P518" s="13">
        <f t="shared" si="67"/>
        <v>235118.52</v>
      </c>
      <c r="Q518" s="13">
        <f t="shared" si="68"/>
        <v>36172.08</v>
      </c>
      <c r="R518" s="10">
        <f t="shared" si="69"/>
        <v>0.133333333333333</v>
      </c>
      <c r="S518" t="str">
        <f t="shared" si="70"/>
        <v>Jul-2026</v>
      </c>
      <c r="T518" t="str">
        <f t="shared" si="71"/>
        <v>OK</v>
      </c>
    </row>
    <row r="519" spans="1:20">
      <c r="A519" t="str">
        <f>TRIM(Raw_Data!A519)</f>
        <v>ORD-10518</v>
      </c>
      <c r="B519" s="12">
        <f>IFERROR(IF(ISNUMBER(Raw_Data!B519),Raw_Data!B519,DATEVALUE(Raw_Data!B519)),"")</f>
        <v>46113</v>
      </c>
      <c r="C519" t="str">
        <f>PROPER(TRIM(Raw_Data!C519))</f>
        <v>Kiran</v>
      </c>
      <c r="D519" t="str">
        <f>IF(TRIM(Raw_Data!D519)="Bangalore","Bengaluru",IF(TRIM(Raw_Data!D519)="Mysore","Mysuru",IF(TRIM(Raw_Data!D519)="Cochin","Kochi",PROPER(TRIM(Raw_Data!D519)))))</f>
        <v>Mysuru</v>
      </c>
      <c r="E519" t="str">
        <f>PROPER(TRIM(Raw_Data!E519))</f>
        <v>Retail Store</v>
      </c>
      <c r="F519" t="str">
        <f>PROPER(TRIM(Raw_Data!F519))</f>
        <v>Consumer</v>
      </c>
      <c r="G519" t="str">
        <f>PROPER(TRIM(Raw_Data!G519))</f>
        <v>Mouse</v>
      </c>
      <c r="H519" t="str">
        <f>PROPER(TRIM(Raw_Data!H519))</f>
        <v>Mouse Ergonomic</v>
      </c>
      <c r="I519">
        <f>IFERROR(MAX(0,VALUE(Raw_Data!I519)),0)</f>
        <v>3</v>
      </c>
      <c r="J519" s="13">
        <f>IFERROR(VALUE(Raw_Data!J519),0)</f>
        <v>2602</v>
      </c>
      <c r="K519" s="14">
        <f>IFERROR(VALUE(Raw_Data!K519),0)</f>
        <v>0.02</v>
      </c>
      <c r="L519" t="str">
        <f>PROPER(TRIM(Raw_Data!L519))</f>
        <v>Returned</v>
      </c>
      <c r="M519" s="13">
        <f t="shared" si="64"/>
        <v>7806</v>
      </c>
      <c r="N519" s="13">
        <f t="shared" si="65"/>
        <v>156.12</v>
      </c>
      <c r="O519" s="13">
        <f t="shared" si="66"/>
        <v>7649.88</v>
      </c>
      <c r="P519" s="13">
        <f t="shared" si="67"/>
        <v>4293.3</v>
      </c>
      <c r="Q519" s="13">
        <f t="shared" si="68"/>
        <v>3356.58</v>
      </c>
      <c r="R519" s="10">
        <f t="shared" si="69"/>
        <v>0.438775510204082</v>
      </c>
      <c r="S519" t="str">
        <f t="shared" si="70"/>
        <v>Apr-2026</v>
      </c>
      <c r="T519" t="str">
        <f t="shared" si="71"/>
        <v>OK</v>
      </c>
    </row>
    <row r="520" spans="1:20">
      <c r="A520" t="str">
        <f>TRIM(Raw_Data!A520)</f>
        <v>ORD-10519</v>
      </c>
      <c r="B520" s="12">
        <f>IFERROR(IF(ISNUMBER(Raw_Data!B520),Raw_Data!B520,DATEVALUE(Raw_Data!B520)),"")</f>
        <v>46123</v>
      </c>
      <c r="C520" t="str">
        <f>PROPER(TRIM(Raw_Data!C520))</f>
        <v>Meghana</v>
      </c>
      <c r="D520" t="str">
        <f>IF(TRIM(Raw_Data!D520)="Bangalore","Bengaluru",IF(TRIM(Raw_Data!D520)="Mysore","Mysuru",IF(TRIM(Raw_Data!D520)="Cochin","Kochi",PROPER(TRIM(Raw_Data!D520)))))</f>
        <v>Mumbai</v>
      </c>
      <c r="E520" t="str">
        <f>PROPER(TRIM(Raw_Data!E520))</f>
        <v>Retail Store</v>
      </c>
      <c r="F520" t="str">
        <f>PROPER(TRIM(Raw_Data!F520))</f>
        <v>Smb</v>
      </c>
      <c r="G520" t="str">
        <f>PROPER(TRIM(Raw_Data!G520))</f>
        <v>Mouse</v>
      </c>
      <c r="H520" t="str">
        <f>PROPER(TRIM(Raw_Data!H520))</f>
        <v>Mouse Wireless</v>
      </c>
      <c r="I520">
        <f>IFERROR(MAX(0,VALUE(Raw_Data!I520)),0)</f>
        <v>3</v>
      </c>
      <c r="J520" s="13">
        <f>IFERROR(VALUE(Raw_Data!J520),0)</f>
        <v>2737</v>
      </c>
      <c r="K520" s="14">
        <f>IFERROR(VALUE(Raw_Data!K520),0)</f>
        <v>0.05</v>
      </c>
      <c r="L520" t="str">
        <f>PROPER(TRIM(Raw_Data!L520))</f>
        <v>Cancelled</v>
      </c>
      <c r="M520" s="13">
        <f t="shared" si="64"/>
        <v>8211</v>
      </c>
      <c r="N520" s="13">
        <f t="shared" si="65"/>
        <v>410.55</v>
      </c>
      <c r="O520" s="13">
        <f t="shared" si="66"/>
        <v>7800.45</v>
      </c>
      <c r="P520" s="13">
        <f t="shared" si="67"/>
        <v>4516.05</v>
      </c>
      <c r="Q520" s="13">
        <f t="shared" si="68"/>
        <v>3284.4</v>
      </c>
      <c r="R520" s="10">
        <f t="shared" si="69"/>
        <v>0.421052631578947</v>
      </c>
      <c r="S520" t="str">
        <f t="shared" si="70"/>
        <v>Apr-2026</v>
      </c>
      <c r="T520" t="str">
        <f t="shared" si="71"/>
        <v>OK</v>
      </c>
    </row>
    <row r="521" spans="1:20">
      <c r="A521" t="str">
        <f>TRIM(Raw_Data!A521)</f>
        <v>ORD-10520</v>
      </c>
      <c r="B521" s="12">
        <f>IFERROR(IF(ISNUMBER(Raw_Data!B521),Raw_Data!B521,DATEVALUE(Raw_Data!B521)),"")</f>
        <v>46149</v>
      </c>
      <c r="C521" t="str">
        <f>PROPER(TRIM(Raw_Data!C521))</f>
        <v>Ravi</v>
      </c>
      <c r="D521" t="str">
        <f>IF(TRIM(Raw_Data!D521)="Bangalore","Bengaluru",IF(TRIM(Raw_Data!D521)="Mysore","Mysuru",IF(TRIM(Raw_Data!D521)="Cochin","Kochi",PROPER(TRIM(Raw_Data!D521)))))</f>
        <v>Mysuru</v>
      </c>
      <c r="E521" t="str">
        <f>PROPER(TRIM(Raw_Data!E521))</f>
        <v>Retail Store</v>
      </c>
      <c r="F521" t="str">
        <f>PROPER(TRIM(Raw_Data!F521))</f>
        <v>Consumer</v>
      </c>
      <c r="G521" t="str">
        <f>PROPER(TRIM(Raw_Data!G521))</f>
        <v>Monitor</v>
      </c>
      <c r="H521" t="str">
        <f>PROPER(TRIM(Raw_Data!H521))</f>
        <v>Monitor 27</v>
      </c>
      <c r="I521">
        <f>IFERROR(MAX(0,VALUE(Raw_Data!I521)),0)</f>
        <v>0</v>
      </c>
      <c r="J521" s="13">
        <f>IFERROR(VALUE(Raw_Data!J521),0)</f>
        <v>19092</v>
      </c>
      <c r="K521" s="14">
        <f>IFERROR(VALUE(Raw_Data!K521),0)</f>
        <v>0.15</v>
      </c>
      <c r="L521" t="str">
        <f>PROPER(TRIM(Raw_Data!L521))</f>
        <v>Cancelled</v>
      </c>
      <c r="M521" s="13">
        <f t="shared" si="64"/>
        <v>0</v>
      </c>
      <c r="N521" s="13">
        <f t="shared" si="65"/>
        <v>0</v>
      </c>
      <c r="O521" s="13">
        <f t="shared" si="66"/>
        <v>0</v>
      </c>
      <c r="P521" s="13">
        <f t="shared" si="67"/>
        <v>0</v>
      </c>
      <c r="Q521" s="13">
        <f t="shared" si="68"/>
        <v>0</v>
      </c>
      <c r="R521" s="10">
        <f t="shared" si="69"/>
        <v>0</v>
      </c>
      <c r="S521" t="str">
        <f t="shared" si="70"/>
        <v>May-2026</v>
      </c>
      <c r="T521" t="str">
        <f t="shared" si="71"/>
        <v>CHECK</v>
      </c>
    </row>
    <row r="522" spans="1:20">
      <c r="A522" t="str">
        <f>TRIM(Raw_Data!A522)</f>
        <v>ORD-10521</v>
      </c>
      <c r="B522" s="12">
        <f>IFERROR(IF(ISNUMBER(Raw_Data!B522),Raw_Data!B522,DATEVALUE(Raw_Data!B522)),"")</f>
        <v>46199</v>
      </c>
      <c r="C522" t="str">
        <f>PROPER(TRIM(Raw_Data!C522))</f>
        <v>Meghana</v>
      </c>
      <c r="D522" t="str">
        <f>IF(TRIM(Raw_Data!D522)="Bangalore","Bengaluru",IF(TRIM(Raw_Data!D522)="Mysore","Mysuru",IF(TRIM(Raw_Data!D522)="Cochin","Kochi",PROPER(TRIM(Raw_Data!D522)))))</f>
        <v>Mysuru</v>
      </c>
      <c r="E522" t="str">
        <f>PROPER(TRIM(Raw_Data!E522))</f>
        <v>Online</v>
      </c>
      <c r="F522" t="str">
        <f>PROPER(TRIM(Raw_Data!F522))</f>
        <v>Enterprise</v>
      </c>
      <c r="G522" t="str">
        <f>PROPER(TRIM(Raw_Data!G522))</f>
        <v>Monitor</v>
      </c>
      <c r="H522" t="str">
        <f>PROPER(TRIM(Raw_Data!H522))</f>
        <v>Monitor 27</v>
      </c>
      <c r="I522">
        <f>IFERROR(MAX(0,VALUE(Raw_Data!I522)),0)</f>
        <v>4</v>
      </c>
      <c r="J522" s="13">
        <f>IFERROR(VALUE(Raw_Data!J522),0)</f>
        <v>27186</v>
      </c>
      <c r="K522" s="14">
        <f>IFERROR(VALUE(Raw_Data!K522),0)</f>
        <v>0.02</v>
      </c>
      <c r="L522" t="str">
        <f>PROPER(TRIM(Raw_Data!L522))</f>
        <v>Delivered</v>
      </c>
      <c r="M522" s="13">
        <f t="shared" si="64"/>
        <v>108744</v>
      </c>
      <c r="N522" s="13">
        <f t="shared" si="65"/>
        <v>2174.88</v>
      </c>
      <c r="O522" s="13">
        <f t="shared" si="66"/>
        <v>106569.12</v>
      </c>
      <c r="P522" s="13">
        <f t="shared" si="67"/>
        <v>76120.8</v>
      </c>
      <c r="Q522" s="13">
        <f t="shared" si="68"/>
        <v>30448.32</v>
      </c>
      <c r="R522" s="10">
        <f t="shared" si="69"/>
        <v>0.285714285714286</v>
      </c>
      <c r="S522" t="str">
        <f t="shared" si="70"/>
        <v>Jun-2026</v>
      </c>
      <c r="T522" t="str">
        <f t="shared" si="71"/>
        <v>OK</v>
      </c>
    </row>
    <row r="523" spans="1:20">
      <c r="A523" t="str">
        <f>TRIM(Raw_Data!A523)</f>
        <v>ORD-10522</v>
      </c>
      <c r="B523" s="12">
        <f>IFERROR(IF(ISNUMBER(Raw_Data!B523),Raw_Data!B523,DATEVALUE(Raw_Data!B523)),"")</f>
        <v>46251</v>
      </c>
      <c r="C523" t="str">
        <f>PROPER(TRIM(Raw_Data!C523))</f>
        <v>Asha</v>
      </c>
      <c r="D523" t="str">
        <f>IF(TRIM(Raw_Data!D523)="Bangalore","Bengaluru",IF(TRIM(Raw_Data!D523)="Mysore","Mysuru",IF(TRIM(Raw_Data!D523)="Cochin","Kochi",PROPER(TRIM(Raw_Data!D523)))))</f>
        <v>Mysuru</v>
      </c>
      <c r="E523" t="str">
        <f>PROPER(TRIM(Raw_Data!E523))</f>
        <v>Retail Store</v>
      </c>
      <c r="F523" t="str">
        <f>PROPER(TRIM(Raw_Data!F523))</f>
        <v>Enterprise</v>
      </c>
      <c r="G523" t="str">
        <f>PROPER(TRIM(Raw_Data!G523))</f>
        <v>Keyboard</v>
      </c>
      <c r="H523" t="str">
        <f>PROPER(TRIM(Raw_Data!H523))</f>
        <v>Keyboard Wireless</v>
      </c>
      <c r="I523">
        <f>IFERROR(MAX(0,VALUE(Raw_Data!I523)),0)</f>
        <v>1</v>
      </c>
      <c r="J523" s="13">
        <f>IFERROR(VALUE(Raw_Data!J523),0)</f>
        <v>3462</v>
      </c>
      <c r="K523" s="14">
        <f>IFERROR(VALUE(Raw_Data!K523),0)</f>
        <v>0.08</v>
      </c>
      <c r="L523" t="str">
        <f>PROPER(TRIM(Raw_Data!L523))</f>
        <v>Delivered</v>
      </c>
      <c r="M523" s="13">
        <f t="shared" si="64"/>
        <v>3462</v>
      </c>
      <c r="N523" s="13">
        <f t="shared" si="65"/>
        <v>276.96</v>
      </c>
      <c r="O523" s="13">
        <f t="shared" si="66"/>
        <v>3185.04</v>
      </c>
      <c r="P523" s="13">
        <f t="shared" si="67"/>
        <v>2007.96</v>
      </c>
      <c r="Q523" s="13">
        <f t="shared" si="68"/>
        <v>1177.08</v>
      </c>
      <c r="R523" s="10">
        <f t="shared" si="69"/>
        <v>0.369565217391304</v>
      </c>
      <c r="S523" t="str">
        <f t="shared" si="70"/>
        <v>Aug-2026</v>
      </c>
      <c r="T523" t="str">
        <f t="shared" si="71"/>
        <v>OK</v>
      </c>
    </row>
    <row r="524" spans="1:20">
      <c r="A524" t="str">
        <f>TRIM(Raw_Data!A524)</f>
        <v>ORD-10523</v>
      </c>
      <c r="B524" s="12">
        <f>IFERROR(IF(ISNUMBER(Raw_Data!B524),Raw_Data!B524,DATEVALUE(Raw_Data!B524)),"")</f>
        <v>46053</v>
      </c>
      <c r="C524" t="str">
        <f>PROPER(TRIM(Raw_Data!C524))</f>
        <v>Asha</v>
      </c>
      <c r="D524" t="str">
        <f>IF(TRIM(Raw_Data!D524)="Bangalore","Bengaluru",IF(TRIM(Raw_Data!D524)="Mysore","Mysuru",IF(TRIM(Raw_Data!D524)="Cochin","Kochi",PROPER(TRIM(Raw_Data!D524)))))</f>
        <v>Bengaluru</v>
      </c>
      <c r="E524" t="str">
        <f>PROPER(TRIM(Raw_Data!E524))</f>
        <v>Retail Store</v>
      </c>
      <c r="F524" t="str">
        <f>PROPER(TRIM(Raw_Data!F524))</f>
        <v>Consumer</v>
      </c>
      <c r="G524" t="str">
        <f>PROPER(TRIM(Raw_Data!G524))</f>
        <v>Keyboard</v>
      </c>
      <c r="H524" t="str">
        <f>PROPER(TRIM(Raw_Data!H524))</f>
        <v>Keyboard Office</v>
      </c>
      <c r="I524">
        <f>IFERROR(MAX(0,VALUE(Raw_Data!I524)),0)</f>
        <v>7</v>
      </c>
      <c r="J524" s="13">
        <f>IFERROR(VALUE(Raw_Data!J524),0)</f>
        <v>5329</v>
      </c>
      <c r="K524" s="14">
        <f>IFERROR(VALUE(Raw_Data!K524),0)</f>
        <v>0.08</v>
      </c>
      <c r="L524" t="str">
        <f>PROPER(TRIM(Raw_Data!L524))</f>
        <v>Returned</v>
      </c>
      <c r="M524" s="13">
        <f t="shared" si="64"/>
        <v>37303</v>
      </c>
      <c r="N524" s="13">
        <f t="shared" si="65"/>
        <v>2984.24</v>
      </c>
      <c r="O524" s="13">
        <f t="shared" si="66"/>
        <v>34318.76</v>
      </c>
      <c r="P524" s="13">
        <f t="shared" si="67"/>
        <v>21635.74</v>
      </c>
      <c r="Q524" s="13">
        <f t="shared" si="68"/>
        <v>12683.02</v>
      </c>
      <c r="R524" s="10">
        <f t="shared" si="69"/>
        <v>0.369565217391304</v>
      </c>
      <c r="S524" t="str">
        <f t="shared" si="70"/>
        <v>Jan-2026</v>
      </c>
      <c r="T524" t="str">
        <f t="shared" si="71"/>
        <v>OK</v>
      </c>
    </row>
    <row r="525" spans="1:20">
      <c r="A525" t="str">
        <f>TRIM(Raw_Data!A525)</f>
        <v>ORD-10524</v>
      </c>
      <c r="B525" s="12">
        <f>IFERROR(IF(ISNUMBER(Raw_Data!B525),Raw_Data!B525,DATEVALUE(Raw_Data!B525)),"")</f>
        <v>46217</v>
      </c>
      <c r="C525" t="str">
        <f>PROPER(TRIM(Raw_Data!C525))</f>
        <v>Asha</v>
      </c>
      <c r="D525" t="str">
        <f>IF(TRIM(Raw_Data!D525)="Bangalore","Bengaluru",IF(TRIM(Raw_Data!D525)="Mysore","Mysuru",IF(TRIM(Raw_Data!D525)="Cochin","Kochi",PROPER(TRIM(Raw_Data!D525)))))</f>
        <v>Mumbai</v>
      </c>
      <c r="E525" t="str">
        <f>PROPER(TRIM(Raw_Data!E525))</f>
        <v>Corporate</v>
      </c>
      <c r="F525" t="str">
        <f>PROPER(TRIM(Raw_Data!F525))</f>
        <v>Smb</v>
      </c>
      <c r="G525" t="str">
        <f>PROPER(TRIM(Raw_Data!G525))</f>
        <v>Keyboard</v>
      </c>
      <c r="H525" t="str">
        <f>PROPER(TRIM(Raw_Data!H525))</f>
        <v>Keyboard Wireless</v>
      </c>
      <c r="I525">
        <f>IFERROR(MAX(0,VALUE(Raw_Data!I525)),0)</f>
        <v>5</v>
      </c>
      <c r="J525" s="13">
        <f>IFERROR(VALUE(Raw_Data!J525),0)</f>
        <v>2820</v>
      </c>
      <c r="K525" s="14">
        <f>IFERROR(VALUE(Raw_Data!K525),0)</f>
        <v>0.02</v>
      </c>
      <c r="L525" t="str">
        <f>PROPER(TRIM(Raw_Data!L525))</f>
        <v>Cancelled</v>
      </c>
      <c r="M525" s="13">
        <f t="shared" si="64"/>
        <v>14100</v>
      </c>
      <c r="N525" s="13">
        <f t="shared" si="65"/>
        <v>282</v>
      </c>
      <c r="O525" s="13">
        <f t="shared" si="66"/>
        <v>13818</v>
      </c>
      <c r="P525" s="13">
        <f t="shared" si="67"/>
        <v>8178</v>
      </c>
      <c r="Q525" s="13">
        <f t="shared" si="68"/>
        <v>5640</v>
      </c>
      <c r="R525" s="10">
        <f t="shared" si="69"/>
        <v>0.408163265306123</v>
      </c>
      <c r="S525" t="str">
        <f t="shared" si="70"/>
        <v>Jul-2026</v>
      </c>
      <c r="T525" t="str">
        <f t="shared" si="71"/>
        <v>OK</v>
      </c>
    </row>
    <row r="526" spans="1:20">
      <c r="A526" t="str">
        <f>TRIM(Raw_Data!A526)</f>
        <v>ORD-10525</v>
      </c>
      <c r="B526" s="12">
        <f>IFERROR(IF(ISNUMBER(Raw_Data!B526),Raw_Data!B526,DATEVALUE(Raw_Data!B526)),"")</f>
        <v>46095</v>
      </c>
      <c r="C526" t="str">
        <f>PROPER(TRIM(Raw_Data!C526))</f>
        <v>Priya</v>
      </c>
      <c r="D526" t="str">
        <f>IF(TRIM(Raw_Data!D526)="Bangalore","Bengaluru",IF(TRIM(Raw_Data!D526)="Mysore","Mysuru",IF(TRIM(Raw_Data!D526)="Cochin","Kochi",PROPER(TRIM(Raw_Data!D526)))))</f>
        <v>Bengaluru</v>
      </c>
      <c r="E526" t="str">
        <f>PROPER(TRIM(Raw_Data!E526))</f>
        <v>Retail Store</v>
      </c>
      <c r="F526" t="str">
        <f>PROPER(TRIM(Raw_Data!F526))</f>
        <v>Enterprise</v>
      </c>
      <c r="G526" t="str">
        <f>PROPER(TRIM(Raw_Data!G526))</f>
        <v>Keyboard</v>
      </c>
      <c r="H526" t="str">
        <f>PROPER(TRIM(Raw_Data!H526))</f>
        <v>Keyboard Office</v>
      </c>
      <c r="I526">
        <f>IFERROR(MAX(0,VALUE(Raw_Data!I526)),0)</f>
        <v>2</v>
      </c>
      <c r="J526" s="13">
        <f>IFERROR(VALUE(Raw_Data!J526),0)</f>
        <v>2280</v>
      </c>
      <c r="K526" s="14">
        <f>IFERROR(VALUE(Raw_Data!K526),0)</f>
        <v>0.02</v>
      </c>
      <c r="L526" t="str">
        <f>PROPER(TRIM(Raw_Data!L526))</f>
        <v>Delivered</v>
      </c>
      <c r="M526" s="13">
        <f t="shared" si="64"/>
        <v>4560</v>
      </c>
      <c r="N526" s="13">
        <f t="shared" si="65"/>
        <v>91.2</v>
      </c>
      <c r="O526" s="13">
        <f t="shared" si="66"/>
        <v>4468.8</v>
      </c>
      <c r="P526" s="13">
        <f t="shared" si="67"/>
        <v>2644.8</v>
      </c>
      <c r="Q526" s="13">
        <f t="shared" si="68"/>
        <v>1824</v>
      </c>
      <c r="R526" s="10">
        <f t="shared" si="69"/>
        <v>0.408163265306123</v>
      </c>
      <c r="S526" t="str">
        <f t="shared" si="70"/>
        <v>Mar-2026</v>
      </c>
      <c r="T526" t="str">
        <f t="shared" si="71"/>
        <v>OK</v>
      </c>
    </row>
    <row r="527" spans="1:20">
      <c r="A527" t="str">
        <f>TRIM(Raw_Data!A527)</f>
        <v>ORD-10526</v>
      </c>
      <c r="B527" s="12">
        <f>IFERROR(IF(ISNUMBER(Raw_Data!B527),Raw_Data!B527,DATEVALUE(Raw_Data!B527)),"")</f>
        <v>46233</v>
      </c>
      <c r="C527" t="str">
        <f>PROPER(TRIM(Raw_Data!C527))</f>
        <v>Asha</v>
      </c>
      <c r="D527" t="str">
        <f>IF(TRIM(Raw_Data!D527)="Bangalore","Bengaluru",IF(TRIM(Raw_Data!D527)="Mysore","Mysuru",IF(TRIM(Raw_Data!D527)="Cochin","Kochi",PROPER(TRIM(Raw_Data!D527)))))</f>
        <v>Mysuru</v>
      </c>
      <c r="E527" t="str">
        <f>PROPER(TRIM(Raw_Data!E527))</f>
        <v>Retail Store</v>
      </c>
      <c r="F527" t="str">
        <f>PROPER(TRIM(Raw_Data!F527))</f>
        <v>Smb</v>
      </c>
      <c r="G527" t="str">
        <f>PROPER(TRIM(Raw_Data!G527))</f>
        <v>Laptop</v>
      </c>
      <c r="H527" t="str">
        <f>PROPER(TRIM(Raw_Data!H527))</f>
        <v>Laptop Pro 14</v>
      </c>
      <c r="I527">
        <f>IFERROR(MAX(0,VALUE(Raw_Data!I527)),0)</f>
        <v>1</v>
      </c>
      <c r="J527" s="13">
        <f>IFERROR(VALUE(Raw_Data!J527),0)</f>
        <v>55424</v>
      </c>
      <c r="K527" s="14">
        <f>IFERROR(VALUE(Raw_Data!K527),0)</f>
        <v>0.15</v>
      </c>
      <c r="L527" t="str">
        <f>PROPER(TRIM(Raw_Data!L527))</f>
        <v>Returned</v>
      </c>
      <c r="M527" s="13">
        <f t="shared" si="64"/>
        <v>55424</v>
      </c>
      <c r="N527" s="13">
        <f t="shared" si="65"/>
        <v>8313.6</v>
      </c>
      <c r="O527" s="13">
        <f t="shared" si="66"/>
        <v>47110.4</v>
      </c>
      <c r="P527" s="13">
        <f t="shared" si="67"/>
        <v>43230.72</v>
      </c>
      <c r="Q527" s="13">
        <f t="shared" si="68"/>
        <v>3879.68</v>
      </c>
      <c r="R527" s="10">
        <f t="shared" si="69"/>
        <v>0.0823529411764706</v>
      </c>
      <c r="S527" t="str">
        <f t="shared" si="70"/>
        <v>Jul-2026</v>
      </c>
      <c r="T527" t="str">
        <f t="shared" si="71"/>
        <v>OK</v>
      </c>
    </row>
    <row r="528" spans="1:20">
      <c r="A528" t="str">
        <f>TRIM(Raw_Data!A528)</f>
        <v>ORD-10527</v>
      </c>
      <c r="B528" s="12">
        <f>IFERROR(IF(ISNUMBER(Raw_Data!B528),Raw_Data!B528,DATEVALUE(Raw_Data!B528)),"")</f>
        <v>46097</v>
      </c>
      <c r="C528" t="str">
        <f>PROPER(TRIM(Raw_Data!C528))</f>
        <v>Asha</v>
      </c>
      <c r="D528" t="str">
        <f>IF(TRIM(Raw_Data!D528)="Bangalore","Bengaluru",IF(TRIM(Raw_Data!D528)="Mysore","Mysuru",IF(TRIM(Raw_Data!D528)="Cochin","Kochi",PROPER(TRIM(Raw_Data!D528)))))</f>
        <v>Kochi</v>
      </c>
      <c r="E528" t="str">
        <f>PROPER(TRIM(Raw_Data!E528))</f>
        <v>Retail Store</v>
      </c>
      <c r="F528" t="str">
        <f>PROPER(TRIM(Raw_Data!F528))</f>
        <v>Smb</v>
      </c>
      <c r="G528" t="str">
        <f>PROPER(TRIM(Raw_Data!G528))</f>
        <v>Mouse</v>
      </c>
      <c r="H528" t="str">
        <f>PROPER(TRIM(Raw_Data!H528))</f>
        <v>Mouse Wireless</v>
      </c>
      <c r="I528">
        <f>IFERROR(MAX(0,VALUE(Raw_Data!I528)),0)</f>
        <v>1</v>
      </c>
      <c r="J528" s="13">
        <f>IFERROR(VALUE(Raw_Data!J528),0)</f>
        <v>1519</v>
      </c>
      <c r="K528" s="14">
        <f>IFERROR(VALUE(Raw_Data!K528),0)</f>
        <v>0.02</v>
      </c>
      <c r="L528" t="str">
        <f>PROPER(TRIM(Raw_Data!L528))</f>
        <v>Delivered</v>
      </c>
      <c r="M528" s="13">
        <f t="shared" si="64"/>
        <v>1519</v>
      </c>
      <c r="N528" s="13">
        <f t="shared" si="65"/>
        <v>30.38</v>
      </c>
      <c r="O528" s="13">
        <f t="shared" si="66"/>
        <v>1488.62</v>
      </c>
      <c r="P528" s="13">
        <f t="shared" si="67"/>
        <v>835.45</v>
      </c>
      <c r="Q528" s="13">
        <f t="shared" si="68"/>
        <v>653.17</v>
      </c>
      <c r="R528" s="10">
        <f t="shared" si="69"/>
        <v>0.438775510204082</v>
      </c>
      <c r="S528" t="str">
        <f t="shared" si="70"/>
        <v>Mar-2026</v>
      </c>
      <c r="T528" t="str">
        <f t="shared" si="71"/>
        <v>OK</v>
      </c>
    </row>
    <row r="529" spans="1:20">
      <c r="A529" t="str">
        <f>TRIM(Raw_Data!A529)</f>
        <v>ORD-10528</v>
      </c>
      <c r="B529" s="12">
        <f>IFERROR(IF(ISNUMBER(Raw_Data!B529),Raw_Data!B529,DATEVALUE(Raw_Data!B529)),"")</f>
        <v>46074</v>
      </c>
      <c r="C529" t="str">
        <f>PROPER(TRIM(Raw_Data!C529))</f>
        <v>Kiran</v>
      </c>
      <c r="D529" t="str">
        <f>IF(TRIM(Raw_Data!D529)="Bangalore","Bengaluru",IF(TRIM(Raw_Data!D529)="Mysore","Mysuru",IF(TRIM(Raw_Data!D529)="Cochin","Kochi",PROPER(TRIM(Raw_Data!D529)))))</f>
        <v>Delhi</v>
      </c>
      <c r="E529" t="str">
        <f>PROPER(TRIM(Raw_Data!E529))</f>
        <v>Retail Store</v>
      </c>
      <c r="F529" t="str">
        <f>PROPER(TRIM(Raw_Data!F529))</f>
        <v>Consumer</v>
      </c>
      <c r="G529" t="str">
        <f>PROPER(TRIM(Raw_Data!G529))</f>
        <v>Headset</v>
      </c>
      <c r="H529" t="str">
        <f>PROPER(TRIM(Raw_Data!H529))</f>
        <v>Headset Wireless</v>
      </c>
      <c r="I529">
        <f>IFERROR(MAX(0,VALUE(Raw_Data!I529)),0)</f>
        <v>5</v>
      </c>
      <c r="J529" s="13">
        <f>IFERROR(VALUE(Raw_Data!J529),0)</f>
        <v>2476</v>
      </c>
      <c r="K529" s="14">
        <f>IFERROR(VALUE(Raw_Data!K529),0)</f>
        <v>0.08</v>
      </c>
      <c r="L529" t="str">
        <f>PROPER(TRIM(Raw_Data!L529))</f>
        <v>Delivered</v>
      </c>
      <c r="M529" s="13">
        <f t="shared" si="64"/>
        <v>12380</v>
      </c>
      <c r="N529" s="13">
        <f t="shared" si="65"/>
        <v>990.4</v>
      </c>
      <c r="O529" s="13">
        <f t="shared" si="66"/>
        <v>11389.6</v>
      </c>
      <c r="P529" s="13">
        <f t="shared" si="67"/>
        <v>7428</v>
      </c>
      <c r="Q529" s="13">
        <f t="shared" si="68"/>
        <v>3961.6</v>
      </c>
      <c r="R529" s="10">
        <f t="shared" si="69"/>
        <v>0.347826086956522</v>
      </c>
      <c r="S529" t="str">
        <f t="shared" si="70"/>
        <v>Feb-2026</v>
      </c>
      <c r="T529" t="str">
        <f t="shared" si="71"/>
        <v>OK</v>
      </c>
    </row>
    <row r="530" spans="1:20">
      <c r="A530" t="str">
        <f>TRIM(Raw_Data!A530)</f>
        <v>ORD-10529</v>
      </c>
      <c r="B530" s="12">
        <f>IFERROR(IF(ISNUMBER(Raw_Data!B530),Raw_Data!B530,DATEVALUE(Raw_Data!B530)),"")</f>
        <v>46115</v>
      </c>
      <c r="C530" t="str">
        <f>PROPER(TRIM(Raw_Data!C530))</f>
        <v>Arjun</v>
      </c>
      <c r="D530" t="str">
        <f>IF(TRIM(Raw_Data!D530)="Bangalore","Bengaluru",IF(TRIM(Raw_Data!D530)="Mysore","Mysuru",IF(TRIM(Raw_Data!D530)="Cochin","Kochi",PROPER(TRIM(Raw_Data!D530)))))</f>
        <v>Pune</v>
      </c>
      <c r="E530" t="str">
        <f>PROPER(TRIM(Raw_Data!E530))</f>
        <v>Retail Store</v>
      </c>
      <c r="F530" t="str">
        <f>PROPER(TRIM(Raw_Data!F530))</f>
        <v>Enterprise</v>
      </c>
      <c r="G530" t="str">
        <f>PROPER(TRIM(Raw_Data!G530))</f>
        <v>Mouse</v>
      </c>
      <c r="H530" t="str">
        <f>PROPER(TRIM(Raw_Data!H530))</f>
        <v>Mouse Wireless</v>
      </c>
      <c r="I530">
        <f>IFERROR(MAX(0,VALUE(Raw_Data!I530)),0)</f>
        <v>5</v>
      </c>
      <c r="J530" s="13">
        <f>IFERROR(VALUE(Raw_Data!J530),0)</f>
        <v>2793</v>
      </c>
      <c r="K530" s="14">
        <f>IFERROR(VALUE(Raw_Data!K530),0)</f>
        <v>0</v>
      </c>
      <c r="L530" t="str">
        <f>PROPER(TRIM(Raw_Data!L530))</f>
        <v>Delivered</v>
      </c>
      <c r="M530" s="13">
        <f t="shared" si="64"/>
        <v>13965</v>
      </c>
      <c r="N530" s="13">
        <f t="shared" si="65"/>
        <v>0</v>
      </c>
      <c r="O530" s="13">
        <f t="shared" si="66"/>
        <v>13965</v>
      </c>
      <c r="P530" s="13">
        <f t="shared" si="67"/>
        <v>7680.75</v>
      </c>
      <c r="Q530" s="13">
        <f t="shared" si="68"/>
        <v>6284.25</v>
      </c>
      <c r="R530" s="10">
        <f t="shared" si="69"/>
        <v>0.45</v>
      </c>
      <c r="S530" t="str">
        <f t="shared" si="70"/>
        <v>Apr-2026</v>
      </c>
      <c r="T530" t="str">
        <f t="shared" si="71"/>
        <v>OK</v>
      </c>
    </row>
    <row r="531" spans="1:20">
      <c r="A531" t="str">
        <f>TRIM(Raw_Data!A531)</f>
        <v>ORD-10530</v>
      </c>
      <c r="B531" s="12">
        <f>IFERROR(IF(ISNUMBER(Raw_Data!B531),Raw_Data!B531,DATEVALUE(Raw_Data!B531)),"")</f>
        <v>46050</v>
      </c>
      <c r="C531" t="str">
        <f>PROPER(TRIM(Raw_Data!C531))</f>
        <v>Ravi</v>
      </c>
      <c r="D531" t="str">
        <f>IF(TRIM(Raw_Data!D531)="Bangalore","Bengaluru",IF(TRIM(Raw_Data!D531)="Mysore","Mysuru",IF(TRIM(Raw_Data!D531)="Cochin","Kochi",PROPER(TRIM(Raw_Data!D531)))))</f>
        <v>Bengaluru</v>
      </c>
      <c r="E531" t="str">
        <f>PROPER(TRIM(Raw_Data!E531))</f>
        <v>Online</v>
      </c>
      <c r="F531" t="str">
        <f>PROPER(TRIM(Raw_Data!F531))</f>
        <v>Consumer</v>
      </c>
      <c r="G531" t="str">
        <f>PROPER(TRIM(Raw_Data!G531))</f>
        <v>Laptop</v>
      </c>
      <c r="H531" t="str">
        <f>PROPER(TRIM(Raw_Data!H531))</f>
        <v>Laptop Pro 14</v>
      </c>
      <c r="I531">
        <f>IFERROR(MAX(0,VALUE(Raw_Data!I531)),0)</f>
        <v>7</v>
      </c>
      <c r="J531" s="13">
        <f>IFERROR(VALUE(Raw_Data!J531),0)</f>
        <v>45734</v>
      </c>
      <c r="K531" s="14">
        <f>IFERROR(VALUE(Raw_Data!K531),0)</f>
        <v>0.15</v>
      </c>
      <c r="L531" t="str">
        <f>PROPER(TRIM(Raw_Data!L531))</f>
        <v>Cancelled</v>
      </c>
      <c r="M531" s="13">
        <f t="shared" si="64"/>
        <v>320138</v>
      </c>
      <c r="N531" s="13">
        <f t="shared" si="65"/>
        <v>48020.7</v>
      </c>
      <c r="O531" s="13">
        <f t="shared" si="66"/>
        <v>272117.3</v>
      </c>
      <c r="P531" s="13">
        <f t="shared" si="67"/>
        <v>249707.64</v>
      </c>
      <c r="Q531" s="13">
        <f t="shared" si="68"/>
        <v>22409.66</v>
      </c>
      <c r="R531" s="10">
        <f t="shared" si="69"/>
        <v>0.0823529411764705</v>
      </c>
      <c r="S531" t="str">
        <f t="shared" si="70"/>
        <v>Jan-2026</v>
      </c>
      <c r="T531" t="str">
        <f t="shared" si="71"/>
        <v>OK</v>
      </c>
    </row>
    <row r="532" spans="1:20">
      <c r="A532" t="str">
        <f>TRIM(Raw_Data!A532)</f>
        <v>ORD-10531</v>
      </c>
      <c r="B532" s="12">
        <f>IFERROR(IF(ISNUMBER(Raw_Data!B532),Raw_Data!B532,DATEVALUE(Raw_Data!B532)),"")</f>
        <v>46261</v>
      </c>
      <c r="C532" t="str">
        <f>PROPER(TRIM(Raw_Data!C532))</f>
        <v>Bhoomika</v>
      </c>
      <c r="D532" t="str">
        <f>IF(TRIM(Raw_Data!D532)="Bangalore","Bengaluru",IF(TRIM(Raw_Data!D532)="Mysore","Mysuru",IF(TRIM(Raw_Data!D532)="Cochin","Kochi",PROPER(TRIM(Raw_Data!D532)))))</f>
        <v>Bengaluru</v>
      </c>
      <c r="E532" t="str">
        <f>PROPER(TRIM(Raw_Data!E532))</f>
        <v>Retail Store</v>
      </c>
      <c r="F532" t="str">
        <f>PROPER(TRIM(Raw_Data!F532))</f>
        <v>Consumer</v>
      </c>
      <c r="G532" t="str">
        <f>PROPER(TRIM(Raw_Data!G532))</f>
        <v>Monitor</v>
      </c>
      <c r="H532" t="str">
        <f>PROPER(TRIM(Raw_Data!H532))</f>
        <v>Monitor 24</v>
      </c>
      <c r="I532">
        <f>IFERROR(MAX(0,VALUE(Raw_Data!I532)),0)</f>
        <v>4</v>
      </c>
      <c r="J532" s="13">
        <f>IFERROR(VALUE(Raw_Data!J532),0)</f>
        <v>14720</v>
      </c>
      <c r="K532" s="14">
        <f>IFERROR(VALUE(Raw_Data!K532),0)</f>
        <v>0</v>
      </c>
      <c r="L532" t="str">
        <f>PROPER(TRIM(Raw_Data!L532))</f>
        <v>Cancelled</v>
      </c>
      <c r="M532" s="13">
        <f t="shared" si="64"/>
        <v>58880</v>
      </c>
      <c r="N532" s="13">
        <f t="shared" si="65"/>
        <v>0</v>
      </c>
      <c r="O532" s="13">
        <f t="shared" si="66"/>
        <v>58880</v>
      </c>
      <c r="P532" s="13">
        <f t="shared" si="67"/>
        <v>41216</v>
      </c>
      <c r="Q532" s="13">
        <f t="shared" si="68"/>
        <v>17664</v>
      </c>
      <c r="R532" s="10">
        <f t="shared" si="69"/>
        <v>0.3</v>
      </c>
      <c r="S532" t="str">
        <f t="shared" si="70"/>
        <v>Aug-2026</v>
      </c>
      <c r="T532" t="str">
        <f t="shared" si="71"/>
        <v>OK</v>
      </c>
    </row>
    <row r="533" spans="1:20">
      <c r="A533" t="str">
        <f>TRIM(Raw_Data!A533)</f>
        <v>ORD-10532</v>
      </c>
      <c r="B533" s="12">
        <f>IFERROR(IF(ISNUMBER(Raw_Data!B533),Raw_Data!B533,DATEVALUE(Raw_Data!B533)),"")</f>
        <v>46252</v>
      </c>
      <c r="C533" t="str">
        <f>PROPER(TRIM(Raw_Data!C533))</f>
        <v>Meghana</v>
      </c>
      <c r="D533" t="str">
        <f>IF(TRIM(Raw_Data!D533)="Bangalore","Bengaluru",IF(TRIM(Raw_Data!D533)="Mysore","Mysuru",IF(TRIM(Raw_Data!D533)="Cochin","Kochi",PROPER(TRIM(Raw_Data!D533)))))</f>
        <v>Chennai</v>
      </c>
      <c r="E533" t="str">
        <f>PROPER(TRIM(Raw_Data!E533))</f>
        <v>Online</v>
      </c>
      <c r="F533" t="str">
        <f>PROPER(TRIM(Raw_Data!F533))</f>
        <v>Smb</v>
      </c>
      <c r="G533" t="str">
        <f>PROPER(TRIM(Raw_Data!G533))</f>
        <v>Laptop</v>
      </c>
      <c r="H533" t="str">
        <f>PROPER(TRIM(Raw_Data!H533))</f>
        <v>Business Laptop 15</v>
      </c>
      <c r="I533">
        <f>IFERROR(MAX(0,VALUE(Raw_Data!I533)),0)</f>
        <v>1</v>
      </c>
      <c r="J533" s="13">
        <f>IFERROR(VALUE(Raw_Data!J533),0)</f>
        <v>63404</v>
      </c>
      <c r="K533" s="14">
        <f>IFERROR(VALUE(Raw_Data!K533),0)</f>
        <v>0.15</v>
      </c>
      <c r="L533" t="str">
        <f>PROPER(TRIM(Raw_Data!L533))</f>
        <v>Delivered</v>
      </c>
      <c r="M533" s="13">
        <f t="shared" si="64"/>
        <v>63404</v>
      </c>
      <c r="N533" s="13">
        <f t="shared" si="65"/>
        <v>9510.6</v>
      </c>
      <c r="O533" s="13">
        <f t="shared" si="66"/>
        <v>53893.4</v>
      </c>
      <c r="P533" s="13">
        <f t="shared" si="67"/>
        <v>49455.12</v>
      </c>
      <c r="Q533" s="13">
        <f t="shared" si="68"/>
        <v>4438.28</v>
      </c>
      <c r="R533" s="10">
        <f t="shared" si="69"/>
        <v>0.0823529411764706</v>
      </c>
      <c r="S533" t="str">
        <f t="shared" si="70"/>
        <v>Aug-2026</v>
      </c>
      <c r="T533" t="str">
        <f t="shared" si="71"/>
        <v>OK</v>
      </c>
    </row>
    <row r="534" spans="1:20">
      <c r="A534" t="str">
        <f>TRIM(Raw_Data!A534)</f>
        <v>ORD-10533</v>
      </c>
      <c r="B534" s="12">
        <f>IFERROR(IF(ISNUMBER(Raw_Data!B534),Raw_Data!B534,DATEVALUE(Raw_Data!B534)),"")</f>
        <v>46117</v>
      </c>
      <c r="C534" t="str">
        <f>PROPER(TRIM(Raw_Data!C534))</f>
        <v>Arjun</v>
      </c>
      <c r="D534" t="str">
        <f>IF(TRIM(Raw_Data!D534)="Bangalore","Bengaluru",IF(TRIM(Raw_Data!D534)="Mysore","Mysuru",IF(TRIM(Raw_Data!D534)="Cochin","Kochi",PROPER(TRIM(Raw_Data!D534)))))</f>
        <v>Hydrabad</v>
      </c>
      <c r="E534" t="str">
        <f>PROPER(TRIM(Raw_Data!E534))</f>
        <v>Retail Store</v>
      </c>
      <c r="F534" t="str">
        <f>PROPER(TRIM(Raw_Data!F534))</f>
        <v>Consumer</v>
      </c>
      <c r="G534" t="str">
        <f>PROPER(TRIM(Raw_Data!G534))</f>
        <v>Mouse</v>
      </c>
      <c r="H534" t="str">
        <f>PROPER(TRIM(Raw_Data!H534))</f>
        <v>Mouse Ergonomic</v>
      </c>
      <c r="I534">
        <f>IFERROR(MAX(0,VALUE(Raw_Data!I534)),0)</f>
        <v>6</v>
      </c>
      <c r="J534" s="13">
        <f>IFERROR(VALUE(Raw_Data!J534),0)</f>
        <v>2013</v>
      </c>
      <c r="K534" s="14">
        <f>IFERROR(VALUE(Raw_Data!K534),0)</f>
        <v>0.08</v>
      </c>
      <c r="L534" t="str">
        <f>PROPER(TRIM(Raw_Data!L534))</f>
        <v>Delivered</v>
      </c>
      <c r="M534" s="13">
        <f t="shared" si="64"/>
        <v>12078</v>
      </c>
      <c r="N534" s="13">
        <f t="shared" si="65"/>
        <v>966.24</v>
      </c>
      <c r="O534" s="13">
        <f t="shared" si="66"/>
        <v>11111.76</v>
      </c>
      <c r="P534" s="13">
        <f t="shared" si="67"/>
        <v>6642.9</v>
      </c>
      <c r="Q534" s="13">
        <f t="shared" si="68"/>
        <v>4468.86</v>
      </c>
      <c r="R534" s="10">
        <f t="shared" si="69"/>
        <v>0.402173913043478</v>
      </c>
      <c r="S534" t="str">
        <f t="shared" si="70"/>
        <v>Apr-2026</v>
      </c>
      <c r="T534" t="str">
        <f t="shared" si="71"/>
        <v>OK</v>
      </c>
    </row>
    <row r="535" spans="1:20">
      <c r="A535" t="str">
        <f>TRIM(Raw_Data!A535)</f>
        <v>ORD-10534</v>
      </c>
      <c r="B535" s="12">
        <f>IFERROR(IF(ISNUMBER(Raw_Data!B535),Raw_Data!B535,DATEVALUE(Raw_Data!B535)),"")</f>
        <v>46188</v>
      </c>
      <c r="C535" t="str">
        <f>PROPER(TRIM(Raw_Data!C535))</f>
        <v>Priya</v>
      </c>
      <c r="D535" t="str">
        <f>IF(TRIM(Raw_Data!D535)="Bangalore","Bengaluru",IF(TRIM(Raw_Data!D535)="Mysore","Mysuru",IF(TRIM(Raw_Data!D535)="Cochin","Kochi",PROPER(TRIM(Raw_Data!D535)))))</f>
        <v>Hydrabad</v>
      </c>
      <c r="E535" t="str">
        <f>PROPER(TRIM(Raw_Data!E535))</f>
        <v>Online</v>
      </c>
      <c r="F535" t="str">
        <f>PROPER(TRIM(Raw_Data!F535))</f>
        <v>Enterprise</v>
      </c>
      <c r="G535" t="str">
        <f>PROPER(TRIM(Raw_Data!G535))</f>
        <v>Mouse</v>
      </c>
      <c r="H535" t="str">
        <f>PROPER(TRIM(Raw_Data!H535))</f>
        <v>Mouse Ergonomic</v>
      </c>
      <c r="I535">
        <f>IFERROR(MAX(0,VALUE(Raw_Data!I535)),0)</f>
        <v>6</v>
      </c>
      <c r="J535" s="13">
        <f>IFERROR(VALUE(Raw_Data!J535),0)</f>
        <v>3260</v>
      </c>
      <c r="K535" s="14">
        <f>IFERROR(VALUE(Raw_Data!K535),0)</f>
        <v>0.1</v>
      </c>
      <c r="L535" t="str">
        <f>PROPER(TRIM(Raw_Data!L535))</f>
        <v>Returned</v>
      </c>
      <c r="M535" s="13">
        <f t="shared" si="64"/>
        <v>19560</v>
      </c>
      <c r="N535" s="13">
        <f t="shared" si="65"/>
        <v>1956</v>
      </c>
      <c r="O535" s="13">
        <f t="shared" si="66"/>
        <v>17604</v>
      </c>
      <c r="P535" s="13">
        <f t="shared" si="67"/>
        <v>10758</v>
      </c>
      <c r="Q535" s="13">
        <f t="shared" si="68"/>
        <v>6846</v>
      </c>
      <c r="R535" s="10">
        <f t="shared" si="69"/>
        <v>0.388888888888889</v>
      </c>
      <c r="S535" t="str">
        <f t="shared" si="70"/>
        <v>Jun-2026</v>
      </c>
      <c r="T535" t="str">
        <f t="shared" si="71"/>
        <v>OK</v>
      </c>
    </row>
    <row r="536" spans="1:20">
      <c r="A536" t="str">
        <f>TRIM(Raw_Data!A536)</f>
        <v>ORD-10535</v>
      </c>
      <c r="B536" s="12">
        <f>IFERROR(IF(ISNUMBER(Raw_Data!B536),Raw_Data!B536,DATEVALUE(Raw_Data!B536)),"")</f>
        <v>46264</v>
      </c>
      <c r="C536" t="str">
        <f>PROPER(TRIM(Raw_Data!C536))</f>
        <v>Kiran</v>
      </c>
      <c r="D536" t="str">
        <f>IF(TRIM(Raw_Data!D536)="Bangalore","Bengaluru",IF(TRIM(Raw_Data!D536)="Mysore","Mysuru",IF(TRIM(Raw_Data!D536)="Cochin","Kochi",PROPER(TRIM(Raw_Data!D536)))))</f>
        <v>Pune</v>
      </c>
      <c r="E536" t="str">
        <f>PROPER(TRIM(Raw_Data!E536))</f>
        <v>Retail Store</v>
      </c>
      <c r="F536" t="str">
        <f>PROPER(TRIM(Raw_Data!F536))</f>
        <v>Smb</v>
      </c>
      <c r="G536" t="str">
        <f>PROPER(TRIM(Raw_Data!G536))</f>
        <v>Monitor</v>
      </c>
      <c r="H536" t="str">
        <f>PROPER(TRIM(Raw_Data!H536))</f>
        <v>Monitor 32</v>
      </c>
      <c r="I536">
        <f>IFERROR(MAX(0,VALUE(Raw_Data!I536)),0)</f>
        <v>6</v>
      </c>
      <c r="J536" s="13">
        <f>IFERROR(VALUE(Raw_Data!J536),0)</f>
        <v>25029</v>
      </c>
      <c r="K536" s="14">
        <f>IFERROR(VALUE(Raw_Data!K536),0)</f>
        <v>0.1</v>
      </c>
      <c r="L536" t="str">
        <f>PROPER(TRIM(Raw_Data!L536))</f>
        <v>Pending</v>
      </c>
      <c r="M536" s="13">
        <f t="shared" si="64"/>
        <v>150174</v>
      </c>
      <c r="N536" s="13">
        <f t="shared" si="65"/>
        <v>15017.4</v>
      </c>
      <c r="O536" s="13">
        <f t="shared" si="66"/>
        <v>135156.6</v>
      </c>
      <c r="P536" s="13">
        <f t="shared" si="67"/>
        <v>105121.8</v>
      </c>
      <c r="Q536" s="13">
        <f t="shared" si="68"/>
        <v>30034.8</v>
      </c>
      <c r="R536" s="10">
        <f t="shared" si="69"/>
        <v>0.222222222222222</v>
      </c>
      <c r="S536" t="str">
        <f t="shared" si="70"/>
        <v>Aug-2026</v>
      </c>
      <c r="T536" t="str">
        <f t="shared" si="71"/>
        <v>OK</v>
      </c>
    </row>
    <row r="537" spans="1:20">
      <c r="A537" t="str">
        <f>TRIM(Raw_Data!A537)</f>
        <v>ORD-10536</v>
      </c>
      <c r="B537" s="12">
        <f>IFERROR(IF(ISNUMBER(Raw_Data!B537),Raw_Data!B537,DATEVALUE(Raw_Data!B537)),"")</f>
        <v>46149</v>
      </c>
      <c r="C537" t="str">
        <f>PROPER(TRIM(Raw_Data!C537))</f>
        <v>Bhoomika</v>
      </c>
      <c r="D537" t="str">
        <f>IF(TRIM(Raw_Data!D537)="Bangalore","Bengaluru",IF(TRIM(Raw_Data!D537)="Mysore","Mysuru",IF(TRIM(Raw_Data!D537)="Cochin","Kochi",PROPER(TRIM(Raw_Data!D537)))))</f>
        <v>Mumbai</v>
      </c>
      <c r="E537" t="str">
        <f>PROPER(TRIM(Raw_Data!E537))</f>
        <v>Corporate</v>
      </c>
      <c r="F537" t="str">
        <f>PROPER(TRIM(Raw_Data!F537))</f>
        <v>Enterprise</v>
      </c>
      <c r="G537" t="str">
        <f>PROPER(TRIM(Raw_Data!G537))</f>
        <v>Monitor</v>
      </c>
      <c r="H537" t="str">
        <f>PROPER(TRIM(Raw_Data!H537))</f>
        <v>Monitor 24</v>
      </c>
      <c r="I537">
        <f>IFERROR(MAX(0,VALUE(Raw_Data!I537)),0)</f>
        <v>2</v>
      </c>
      <c r="J537" s="13">
        <f>IFERROR(VALUE(Raw_Data!J537),0)</f>
        <v>22307</v>
      </c>
      <c r="K537" s="14">
        <f>IFERROR(VALUE(Raw_Data!K537),0)</f>
        <v>0.02</v>
      </c>
      <c r="L537" t="str">
        <f>PROPER(TRIM(Raw_Data!L537))</f>
        <v>Delivered</v>
      </c>
      <c r="M537" s="13">
        <f t="shared" si="64"/>
        <v>44614</v>
      </c>
      <c r="N537" s="13">
        <f t="shared" si="65"/>
        <v>892.28</v>
      </c>
      <c r="O537" s="13">
        <f t="shared" si="66"/>
        <v>43721.72</v>
      </c>
      <c r="P537" s="13">
        <f t="shared" si="67"/>
        <v>31229.8</v>
      </c>
      <c r="Q537" s="13">
        <f t="shared" si="68"/>
        <v>12491.92</v>
      </c>
      <c r="R537" s="10">
        <f t="shared" si="69"/>
        <v>0.285714285714286</v>
      </c>
      <c r="S537" t="str">
        <f t="shared" si="70"/>
        <v>May-2026</v>
      </c>
      <c r="T537" t="str">
        <f t="shared" si="71"/>
        <v>OK</v>
      </c>
    </row>
    <row r="538" spans="1:20">
      <c r="A538" t="str">
        <f>TRIM(Raw_Data!A538)</f>
        <v>ORD-10537</v>
      </c>
      <c r="B538" s="12">
        <f>IFERROR(IF(ISNUMBER(Raw_Data!B538),Raw_Data!B538,DATEVALUE(Raw_Data!B538)),"")</f>
        <v>46132</v>
      </c>
      <c r="C538" t="str">
        <f>PROPER(TRIM(Raw_Data!C538))</f>
        <v>Neha</v>
      </c>
      <c r="D538" t="str">
        <f>IF(TRIM(Raw_Data!D538)="Bangalore","Bengaluru",IF(TRIM(Raw_Data!D538)="Mysore","Mysuru",IF(TRIM(Raw_Data!D538)="Cochin","Kochi",PROPER(TRIM(Raw_Data!D538)))))</f>
        <v>Mysuru</v>
      </c>
      <c r="E538" t="str">
        <f>PROPER(TRIM(Raw_Data!E538))</f>
        <v>Corporate</v>
      </c>
      <c r="F538" t="str">
        <f>PROPER(TRIM(Raw_Data!F538))</f>
        <v>Enterprise</v>
      </c>
      <c r="G538" t="str">
        <f>PROPER(TRIM(Raw_Data!G538))</f>
        <v>Headset</v>
      </c>
      <c r="H538" t="str">
        <f>PROPER(TRIM(Raw_Data!H538))</f>
        <v>Headset Office</v>
      </c>
      <c r="I538">
        <f>IFERROR(MAX(0,VALUE(Raw_Data!I538)),0)</f>
        <v>6</v>
      </c>
      <c r="J538" s="13">
        <f>IFERROR(VALUE(Raw_Data!J538),0)</f>
        <v>5595</v>
      </c>
      <c r="K538" s="14">
        <f>IFERROR(VALUE(Raw_Data!K538),0)</f>
        <v>0.05</v>
      </c>
      <c r="L538" t="str">
        <f>PROPER(TRIM(Raw_Data!L538))</f>
        <v>Delivered</v>
      </c>
      <c r="M538" s="13">
        <f t="shared" si="64"/>
        <v>33570</v>
      </c>
      <c r="N538" s="13">
        <f t="shared" si="65"/>
        <v>1678.5</v>
      </c>
      <c r="O538" s="13">
        <f t="shared" si="66"/>
        <v>31891.5</v>
      </c>
      <c r="P538" s="13">
        <f t="shared" si="67"/>
        <v>20142</v>
      </c>
      <c r="Q538" s="13">
        <f t="shared" si="68"/>
        <v>11749.5</v>
      </c>
      <c r="R538" s="10">
        <f t="shared" si="69"/>
        <v>0.368421052631579</v>
      </c>
      <c r="S538" t="str">
        <f t="shared" si="70"/>
        <v>Apr-2026</v>
      </c>
      <c r="T538" t="str">
        <f t="shared" si="71"/>
        <v>OK</v>
      </c>
    </row>
    <row r="539" spans="1:20">
      <c r="A539" t="str">
        <f>TRIM(Raw_Data!A539)</f>
        <v>ORD-10538</v>
      </c>
      <c r="B539" s="12">
        <f>IFERROR(IF(ISNUMBER(Raw_Data!B539),Raw_Data!B539,DATEVALUE(Raw_Data!B539)),"")</f>
        <v>46087</v>
      </c>
      <c r="C539" t="str">
        <f>PROPER(TRIM(Raw_Data!C539))</f>
        <v>Bhoomika</v>
      </c>
      <c r="D539" t="str">
        <f>IF(TRIM(Raw_Data!D539)="Bangalore","Bengaluru",IF(TRIM(Raw_Data!D539)="Mysore","Mysuru",IF(TRIM(Raw_Data!D539)="Cochin","Kochi",PROPER(TRIM(Raw_Data!D539)))))</f>
        <v>Chennai</v>
      </c>
      <c r="E539" t="str">
        <f>PROPER(TRIM(Raw_Data!E539))</f>
        <v>Retail Store</v>
      </c>
      <c r="F539" t="str">
        <f>PROPER(TRIM(Raw_Data!F539))</f>
        <v>Enterprise</v>
      </c>
      <c r="G539" t="str">
        <f>PROPER(TRIM(Raw_Data!G539))</f>
        <v>Headset</v>
      </c>
      <c r="H539" t="str">
        <f>PROPER(TRIM(Raw_Data!H539))</f>
        <v>Headset Pro</v>
      </c>
      <c r="I539">
        <f>IFERROR(MAX(0,VALUE(Raw_Data!I539)),0)</f>
        <v>4</v>
      </c>
      <c r="J539" s="13">
        <f>IFERROR(VALUE(Raw_Data!J539),0)</f>
        <v>4263</v>
      </c>
      <c r="K539" s="14">
        <f>IFERROR(VALUE(Raw_Data!K539),0)</f>
        <v>0.1</v>
      </c>
      <c r="L539" t="str">
        <f>PROPER(TRIM(Raw_Data!L539))</f>
        <v>Pending</v>
      </c>
      <c r="M539" s="13">
        <f t="shared" si="64"/>
        <v>17052</v>
      </c>
      <c r="N539" s="13">
        <f t="shared" si="65"/>
        <v>1705.2</v>
      </c>
      <c r="O539" s="13">
        <f t="shared" si="66"/>
        <v>15346.8</v>
      </c>
      <c r="P539" s="13">
        <f t="shared" si="67"/>
        <v>10231.2</v>
      </c>
      <c r="Q539" s="13">
        <f t="shared" si="68"/>
        <v>5115.6</v>
      </c>
      <c r="R539" s="10">
        <f t="shared" si="69"/>
        <v>0.333333333333333</v>
      </c>
      <c r="S539" t="str">
        <f t="shared" si="70"/>
        <v>Mar-2026</v>
      </c>
      <c r="T539" t="str">
        <f t="shared" si="71"/>
        <v>OK</v>
      </c>
    </row>
    <row r="540" spans="1:20">
      <c r="A540" t="str">
        <f>TRIM(Raw_Data!A540)</f>
        <v>ORD-10539</v>
      </c>
      <c r="B540" s="12">
        <f>IFERROR(IF(ISNUMBER(Raw_Data!B540),Raw_Data!B540,DATEVALUE(Raw_Data!B540)),"")</f>
        <v>46167</v>
      </c>
      <c r="C540" t="str">
        <f>PROPER(TRIM(Raw_Data!C540))</f>
        <v>Arjun</v>
      </c>
      <c r="D540" t="str">
        <f>IF(TRIM(Raw_Data!D540)="Bangalore","Bengaluru",IF(TRIM(Raw_Data!D540)="Mysore","Mysuru",IF(TRIM(Raw_Data!D540)="Cochin","Kochi",PROPER(TRIM(Raw_Data!D540)))))</f>
        <v>Bengaluru</v>
      </c>
      <c r="E540" t="str">
        <f>PROPER(TRIM(Raw_Data!E540))</f>
        <v>Online</v>
      </c>
      <c r="F540" t="str">
        <f>PROPER(TRIM(Raw_Data!F540))</f>
        <v>Enterprise</v>
      </c>
      <c r="G540" t="str">
        <f>PROPER(TRIM(Raw_Data!G540))</f>
        <v>Mouse</v>
      </c>
      <c r="H540" t="str">
        <f>PROPER(TRIM(Raw_Data!H540))</f>
        <v>Mouse Basic</v>
      </c>
      <c r="I540">
        <f>IFERROR(MAX(0,VALUE(Raw_Data!I540)),0)</f>
        <v>8</v>
      </c>
      <c r="J540" s="13">
        <f>IFERROR(VALUE(Raw_Data!J540),0)</f>
        <v>2711</v>
      </c>
      <c r="K540" s="14">
        <f>IFERROR(VALUE(Raw_Data!K540),0)</f>
        <v>0.05</v>
      </c>
      <c r="L540" t="str">
        <f>PROPER(TRIM(Raw_Data!L540))</f>
        <v>Delivered</v>
      </c>
      <c r="M540" s="13">
        <f t="shared" si="64"/>
        <v>21688</v>
      </c>
      <c r="N540" s="13">
        <f t="shared" si="65"/>
        <v>1084.4</v>
      </c>
      <c r="O540" s="13">
        <f t="shared" si="66"/>
        <v>20603.6</v>
      </c>
      <c r="P540" s="13">
        <f t="shared" si="67"/>
        <v>11928.4</v>
      </c>
      <c r="Q540" s="13">
        <f t="shared" si="68"/>
        <v>8675.2</v>
      </c>
      <c r="R540" s="10">
        <f t="shared" si="69"/>
        <v>0.421052631578947</v>
      </c>
      <c r="S540" t="str">
        <f t="shared" si="70"/>
        <v>May-2026</v>
      </c>
      <c r="T540" t="str">
        <f t="shared" si="71"/>
        <v>OK</v>
      </c>
    </row>
    <row r="541" spans="1:20">
      <c r="A541" t="str">
        <f>TRIM(Raw_Data!A541)</f>
        <v>ORD-10540</v>
      </c>
      <c r="B541" s="12">
        <f>IFERROR(IF(ISNUMBER(Raw_Data!B541),Raw_Data!B541,DATEVALUE(Raw_Data!B541)),"")</f>
        <v>46197</v>
      </c>
      <c r="C541" t="str">
        <f>PROPER(TRIM(Raw_Data!C541))</f>
        <v>Neha</v>
      </c>
      <c r="D541" t="str">
        <f>IF(TRIM(Raw_Data!D541)="Bangalore","Bengaluru",IF(TRIM(Raw_Data!D541)="Mysore","Mysuru",IF(TRIM(Raw_Data!D541)="Cochin","Kochi",PROPER(TRIM(Raw_Data!D541)))))</f>
        <v>Pune</v>
      </c>
      <c r="E541" t="str">
        <f>PROPER(TRIM(Raw_Data!E541))</f>
        <v>Retail Store</v>
      </c>
      <c r="F541" t="str">
        <f>PROPER(TRIM(Raw_Data!F541))</f>
        <v>Consumer</v>
      </c>
      <c r="G541" t="str">
        <f>PROPER(TRIM(Raw_Data!G541))</f>
        <v>Headset</v>
      </c>
      <c r="H541" t="str">
        <f>PROPER(TRIM(Raw_Data!H541))</f>
        <v>Headset Wireless</v>
      </c>
      <c r="I541">
        <f>IFERROR(MAX(0,VALUE(Raw_Data!I541)),0)</f>
        <v>3</v>
      </c>
      <c r="J541" s="13">
        <f>IFERROR(VALUE(Raw_Data!J541),0)</f>
        <v>2640</v>
      </c>
      <c r="K541" s="14">
        <f>IFERROR(VALUE(Raw_Data!K541),0)</f>
        <v>0.15</v>
      </c>
      <c r="L541" t="str">
        <f>PROPER(TRIM(Raw_Data!L541))</f>
        <v>Cancelled</v>
      </c>
      <c r="M541" s="13">
        <f t="shared" si="64"/>
        <v>7920</v>
      </c>
      <c r="N541" s="13">
        <f t="shared" si="65"/>
        <v>1188</v>
      </c>
      <c r="O541" s="13">
        <f t="shared" si="66"/>
        <v>6732</v>
      </c>
      <c r="P541" s="13">
        <f t="shared" si="67"/>
        <v>4752</v>
      </c>
      <c r="Q541" s="13">
        <f t="shared" si="68"/>
        <v>1980</v>
      </c>
      <c r="R541" s="10">
        <f t="shared" si="69"/>
        <v>0.294117647058824</v>
      </c>
      <c r="S541" t="str">
        <f t="shared" si="70"/>
        <v>Jun-2026</v>
      </c>
      <c r="T541" t="str">
        <f t="shared" si="71"/>
        <v>OK</v>
      </c>
    </row>
    <row r="542" spans="1:20">
      <c r="A542" t="str">
        <f>TRIM(Raw_Data!A542)</f>
        <v>ORD-10541</v>
      </c>
      <c r="B542" s="12">
        <f>IFERROR(IF(ISNUMBER(Raw_Data!B542),Raw_Data!B542,DATEVALUE(Raw_Data!B542)),"")</f>
        <v>46090</v>
      </c>
      <c r="C542" t="str">
        <f>PROPER(TRIM(Raw_Data!C542))</f>
        <v>Meghana</v>
      </c>
      <c r="D542" t="str">
        <f>IF(TRIM(Raw_Data!D542)="Bangalore","Bengaluru",IF(TRIM(Raw_Data!D542)="Mysore","Mysuru",IF(TRIM(Raw_Data!D542)="Cochin","Kochi",PROPER(TRIM(Raw_Data!D542)))))</f>
        <v>Kochi</v>
      </c>
      <c r="E542" t="str">
        <f>PROPER(TRIM(Raw_Data!E542))</f>
        <v>Retail Store</v>
      </c>
      <c r="F542" t="str">
        <f>PROPER(TRIM(Raw_Data!F542))</f>
        <v>Enterprise</v>
      </c>
      <c r="G542" t="str">
        <f>PROPER(TRIM(Raw_Data!G542))</f>
        <v>Keyboard</v>
      </c>
      <c r="H542" t="str">
        <f>PROPER(TRIM(Raw_Data!H542))</f>
        <v>Keyboard Mechanical</v>
      </c>
      <c r="I542">
        <f>IFERROR(MAX(0,VALUE(Raw_Data!I542)),0)</f>
        <v>3</v>
      </c>
      <c r="J542" s="13">
        <f>IFERROR(VALUE(Raw_Data!J542),0)</f>
        <v>2326</v>
      </c>
      <c r="K542" s="14">
        <f>IFERROR(VALUE(Raw_Data!K542),0)</f>
        <v>0</v>
      </c>
      <c r="L542" t="str">
        <f>PROPER(TRIM(Raw_Data!L542))</f>
        <v>Cancelled</v>
      </c>
      <c r="M542" s="13">
        <f t="shared" si="64"/>
        <v>6978</v>
      </c>
      <c r="N542" s="13">
        <f t="shared" si="65"/>
        <v>0</v>
      </c>
      <c r="O542" s="13">
        <f t="shared" si="66"/>
        <v>6978</v>
      </c>
      <c r="P542" s="13">
        <f t="shared" si="67"/>
        <v>4047.24</v>
      </c>
      <c r="Q542" s="13">
        <f t="shared" si="68"/>
        <v>2930.76</v>
      </c>
      <c r="R542" s="10">
        <f t="shared" si="69"/>
        <v>0.42</v>
      </c>
      <c r="S542" t="str">
        <f t="shared" si="70"/>
        <v>Mar-2026</v>
      </c>
      <c r="T542" t="str">
        <f t="shared" si="71"/>
        <v>OK</v>
      </c>
    </row>
    <row r="543" spans="1:20">
      <c r="A543" t="str">
        <f>TRIM(Raw_Data!A543)</f>
        <v>ORD-10542</v>
      </c>
      <c r="B543" s="12">
        <f>IFERROR(IF(ISNUMBER(Raw_Data!B543),Raw_Data!B543,DATEVALUE(Raw_Data!B543)),"")</f>
        <v>46118</v>
      </c>
      <c r="C543" t="str">
        <f>PROPER(TRIM(Raw_Data!C543))</f>
        <v>Meghana</v>
      </c>
      <c r="D543" t="str">
        <f>IF(TRIM(Raw_Data!D543)="Bangalore","Bengaluru",IF(TRIM(Raw_Data!D543)="Mysore","Mysuru",IF(TRIM(Raw_Data!D543)="Cochin","Kochi",PROPER(TRIM(Raw_Data!D543)))))</f>
        <v>Bengaluru</v>
      </c>
      <c r="E543" t="str">
        <f>PROPER(TRIM(Raw_Data!E543))</f>
        <v>Online</v>
      </c>
      <c r="F543" t="str">
        <f>PROPER(TRIM(Raw_Data!F543))</f>
        <v>Enterprise</v>
      </c>
      <c r="G543" t="str">
        <f>PROPER(TRIM(Raw_Data!G543))</f>
        <v>Laptop</v>
      </c>
      <c r="H543" t="str">
        <f>PROPER(TRIM(Raw_Data!H543))</f>
        <v>Business Laptop 15</v>
      </c>
      <c r="I543">
        <f>IFERROR(MAX(0,VALUE(Raw_Data!I543)),0)</f>
        <v>1</v>
      </c>
      <c r="J543" s="13">
        <f>IFERROR(VALUE(Raw_Data!J543),0)</f>
        <v>52389</v>
      </c>
      <c r="K543" s="14">
        <f>IFERROR(VALUE(Raw_Data!K543),0)</f>
        <v>0.05</v>
      </c>
      <c r="L543" t="str">
        <f>PROPER(TRIM(Raw_Data!L543))</f>
        <v>Delivered</v>
      </c>
      <c r="M543" s="13">
        <f t="shared" si="64"/>
        <v>52389</v>
      </c>
      <c r="N543" s="13">
        <f t="shared" si="65"/>
        <v>2619.45</v>
      </c>
      <c r="O543" s="13">
        <f t="shared" si="66"/>
        <v>49769.55</v>
      </c>
      <c r="P543" s="13">
        <f t="shared" si="67"/>
        <v>40863.42</v>
      </c>
      <c r="Q543" s="13">
        <f t="shared" si="68"/>
        <v>8906.13</v>
      </c>
      <c r="R543" s="10">
        <f t="shared" si="69"/>
        <v>0.178947368421053</v>
      </c>
      <c r="S543" t="str">
        <f t="shared" si="70"/>
        <v>Apr-2026</v>
      </c>
      <c r="T543" t="str">
        <f t="shared" si="71"/>
        <v>OK</v>
      </c>
    </row>
    <row r="544" spans="1:20">
      <c r="A544" t="str">
        <f>TRIM(Raw_Data!A544)</f>
        <v>ORD-10543</v>
      </c>
      <c r="B544" s="12">
        <f>IFERROR(IF(ISNUMBER(Raw_Data!B544),Raw_Data!B544,DATEVALUE(Raw_Data!B544)),"")</f>
        <v>46060</v>
      </c>
      <c r="C544" t="str">
        <f>PROPER(TRIM(Raw_Data!C544))</f>
        <v>Kiran</v>
      </c>
      <c r="D544" t="str">
        <f>IF(TRIM(Raw_Data!D544)="Bangalore","Bengaluru",IF(TRIM(Raw_Data!D544)="Mysore","Mysuru",IF(TRIM(Raw_Data!D544)="Cochin","Kochi",PROPER(TRIM(Raw_Data!D544)))))</f>
        <v>Chennai</v>
      </c>
      <c r="E544" t="str">
        <f>PROPER(TRIM(Raw_Data!E544))</f>
        <v>Retail Store</v>
      </c>
      <c r="F544" t="str">
        <f>PROPER(TRIM(Raw_Data!F544))</f>
        <v>Consumer</v>
      </c>
      <c r="G544" t="str">
        <f>PROPER(TRIM(Raw_Data!G544))</f>
        <v>Laptop</v>
      </c>
      <c r="H544" t="str">
        <f>PROPER(TRIM(Raw_Data!H544))</f>
        <v>Laptop Air 13</v>
      </c>
      <c r="I544">
        <f>IFERROR(MAX(0,VALUE(Raw_Data!I544)),0)</f>
        <v>6</v>
      </c>
      <c r="J544" s="13">
        <f>IFERROR(VALUE(Raw_Data!J544),0)</f>
        <v>82103</v>
      </c>
      <c r="K544" s="14">
        <f>IFERROR(VALUE(Raw_Data!K544),0)</f>
        <v>0.02</v>
      </c>
      <c r="L544" t="str">
        <f>PROPER(TRIM(Raw_Data!L544))</f>
        <v>Delivered</v>
      </c>
      <c r="M544" s="13">
        <f t="shared" si="64"/>
        <v>492618</v>
      </c>
      <c r="N544" s="13">
        <f t="shared" si="65"/>
        <v>9852.36</v>
      </c>
      <c r="O544" s="13">
        <f t="shared" si="66"/>
        <v>482765.64</v>
      </c>
      <c r="P544" s="13">
        <f t="shared" si="67"/>
        <v>384242.04</v>
      </c>
      <c r="Q544" s="13">
        <f t="shared" si="68"/>
        <v>98523.6</v>
      </c>
      <c r="R544" s="10">
        <f t="shared" si="69"/>
        <v>0.204081632653061</v>
      </c>
      <c r="S544" t="str">
        <f t="shared" si="70"/>
        <v>Feb-2026</v>
      </c>
      <c r="T544" t="str">
        <f t="shared" si="71"/>
        <v>OK</v>
      </c>
    </row>
    <row r="545" spans="1:20">
      <c r="A545" t="str">
        <f>TRIM(Raw_Data!A545)</f>
        <v>ORD-10544</v>
      </c>
      <c r="B545" s="12">
        <f>IFERROR(IF(ISNUMBER(Raw_Data!B545),Raw_Data!B545,DATEVALUE(Raw_Data!B545)),"")</f>
        <v>46250</v>
      </c>
      <c r="C545" t="str">
        <f>PROPER(TRIM(Raw_Data!C545))</f>
        <v>Ravi</v>
      </c>
      <c r="D545" t="str">
        <f>IF(TRIM(Raw_Data!D545)="Bangalore","Bengaluru",IF(TRIM(Raw_Data!D545)="Mysore","Mysuru",IF(TRIM(Raw_Data!D545)="Cochin","Kochi",PROPER(TRIM(Raw_Data!D545)))))</f>
        <v>Hydrabad</v>
      </c>
      <c r="E545" t="str">
        <f>PROPER(TRIM(Raw_Data!E545))</f>
        <v>Corporate</v>
      </c>
      <c r="F545" t="str">
        <f>PROPER(TRIM(Raw_Data!F545))</f>
        <v>Enterprise</v>
      </c>
      <c r="G545" t="str">
        <f>PROPER(TRIM(Raw_Data!G545))</f>
        <v>Mouse</v>
      </c>
      <c r="H545" t="str">
        <f>PROPER(TRIM(Raw_Data!H545))</f>
        <v>Mouse Basic</v>
      </c>
      <c r="I545">
        <f>IFERROR(MAX(0,VALUE(Raw_Data!I545)),0)</f>
        <v>7</v>
      </c>
      <c r="J545" s="13">
        <f>IFERROR(VALUE(Raw_Data!J545),0)</f>
        <v>2736</v>
      </c>
      <c r="K545" s="14">
        <f>IFERROR(VALUE(Raw_Data!K545),0)</f>
        <v>0.1</v>
      </c>
      <c r="L545" t="str">
        <f>PROPER(TRIM(Raw_Data!L545))</f>
        <v>Delivered</v>
      </c>
      <c r="M545" s="13">
        <f t="shared" si="64"/>
        <v>19152</v>
      </c>
      <c r="N545" s="13">
        <f t="shared" si="65"/>
        <v>1915.2</v>
      </c>
      <c r="O545" s="13">
        <f t="shared" si="66"/>
        <v>17236.8</v>
      </c>
      <c r="P545" s="13">
        <f t="shared" si="67"/>
        <v>10533.6</v>
      </c>
      <c r="Q545" s="13">
        <f t="shared" si="68"/>
        <v>6703.2</v>
      </c>
      <c r="R545" s="10">
        <f t="shared" si="69"/>
        <v>0.388888888888889</v>
      </c>
      <c r="S545" t="str">
        <f t="shared" si="70"/>
        <v>Aug-2026</v>
      </c>
      <c r="T545" t="str">
        <f t="shared" si="71"/>
        <v>OK</v>
      </c>
    </row>
    <row r="546" spans="1:20">
      <c r="A546" t="str">
        <f>TRIM(Raw_Data!A546)</f>
        <v>ORD-10545</v>
      </c>
      <c r="B546" s="12">
        <f>IFERROR(IF(ISNUMBER(Raw_Data!B546),Raw_Data!B546,DATEVALUE(Raw_Data!B546)),"")</f>
        <v>46143</v>
      </c>
      <c r="C546" t="str">
        <f>PROPER(TRIM(Raw_Data!C546))</f>
        <v>Ravi</v>
      </c>
      <c r="D546" t="str">
        <f>IF(TRIM(Raw_Data!D546)="Bangalore","Bengaluru",IF(TRIM(Raw_Data!D546)="Mysore","Mysuru",IF(TRIM(Raw_Data!D546)="Cochin","Kochi",PROPER(TRIM(Raw_Data!D546)))))</f>
        <v>Kochi</v>
      </c>
      <c r="E546" t="str">
        <f>PROPER(TRIM(Raw_Data!E546))</f>
        <v>Retail Store</v>
      </c>
      <c r="F546" t="str">
        <f>PROPER(TRIM(Raw_Data!F546))</f>
        <v>Consumer</v>
      </c>
      <c r="G546" t="str">
        <f>PROPER(TRIM(Raw_Data!G546))</f>
        <v>Headset</v>
      </c>
      <c r="H546" t="str">
        <f>PROPER(TRIM(Raw_Data!H546))</f>
        <v>Headset Wireless</v>
      </c>
      <c r="I546">
        <f>IFERROR(MAX(0,VALUE(Raw_Data!I546)),0)</f>
        <v>2</v>
      </c>
      <c r="J546" s="13">
        <f>IFERROR(VALUE(Raw_Data!J546),0)</f>
        <v>4261</v>
      </c>
      <c r="K546" s="14">
        <f>IFERROR(VALUE(Raw_Data!K546),0)</f>
        <v>0.15</v>
      </c>
      <c r="L546" t="str">
        <f>PROPER(TRIM(Raw_Data!L546))</f>
        <v>Pending</v>
      </c>
      <c r="M546" s="13">
        <f t="shared" si="64"/>
        <v>8522</v>
      </c>
      <c r="N546" s="13">
        <f t="shared" si="65"/>
        <v>1278.3</v>
      </c>
      <c r="O546" s="13">
        <f t="shared" si="66"/>
        <v>7243.7</v>
      </c>
      <c r="P546" s="13">
        <f t="shared" si="67"/>
        <v>5113.2</v>
      </c>
      <c r="Q546" s="13">
        <f t="shared" si="68"/>
        <v>2130.5</v>
      </c>
      <c r="R546" s="10">
        <f t="shared" si="69"/>
        <v>0.294117647058824</v>
      </c>
      <c r="S546" t="str">
        <f t="shared" si="70"/>
        <v>May-2026</v>
      </c>
      <c r="T546" t="str">
        <f t="shared" si="71"/>
        <v>OK</v>
      </c>
    </row>
    <row r="547" spans="1:20">
      <c r="A547" t="str">
        <f>TRIM(Raw_Data!A547)</f>
        <v>ORD-10546</v>
      </c>
      <c r="B547" s="12">
        <f>IFERROR(IF(ISNUMBER(Raw_Data!B547),Raw_Data!B547,DATEVALUE(Raw_Data!B547)),"")</f>
        <v>46196</v>
      </c>
      <c r="C547" t="str">
        <f>PROPER(TRIM(Raw_Data!C547))</f>
        <v>Arjun</v>
      </c>
      <c r="D547" t="str">
        <f>IF(TRIM(Raw_Data!D547)="Bangalore","Bengaluru",IF(TRIM(Raw_Data!D547)="Mysore","Mysuru",IF(TRIM(Raw_Data!D547)="Cochin","Kochi",PROPER(TRIM(Raw_Data!D547)))))</f>
        <v>Mumbai</v>
      </c>
      <c r="E547" t="str">
        <f>PROPER(TRIM(Raw_Data!E547))</f>
        <v>Corporate</v>
      </c>
      <c r="F547" t="str">
        <f>PROPER(TRIM(Raw_Data!F547))</f>
        <v>Consumer</v>
      </c>
      <c r="G547" t="str">
        <f>PROPER(TRIM(Raw_Data!G547))</f>
        <v>Mouse</v>
      </c>
      <c r="H547" t="str">
        <f>PROPER(TRIM(Raw_Data!H547))</f>
        <v>Mouse Ergonomic</v>
      </c>
      <c r="I547">
        <f>IFERROR(MAX(0,VALUE(Raw_Data!I547)),0)</f>
        <v>5</v>
      </c>
      <c r="J547" s="13">
        <f>IFERROR(VALUE(Raw_Data!J547),0)</f>
        <v>3211</v>
      </c>
      <c r="K547" s="14">
        <f>IFERROR(VALUE(Raw_Data!K547),0)</f>
        <v>0.02</v>
      </c>
      <c r="L547" t="str">
        <f>PROPER(TRIM(Raw_Data!L547))</f>
        <v>Returned</v>
      </c>
      <c r="M547" s="13">
        <f t="shared" si="64"/>
        <v>16055</v>
      </c>
      <c r="N547" s="13">
        <f t="shared" si="65"/>
        <v>321.1</v>
      </c>
      <c r="O547" s="13">
        <f t="shared" si="66"/>
        <v>15733.9</v>
      </c>
      <c r="P547" s="13">
        <f t="shared" si="67"/>
        <v>8830.25</v>
      </c>
      <c r="Q547" s="13">
        <f t="shared" si="68"/>
        <v>6903.65</v>
      </c>
      <c r="R547" s="10">
        <f t="shared" si="69"/>
        <v>0.438775510204082</v>
      </c>
      <c r="S547" t="str">
        <f t="shared" si="70"/>
        <v>Jun-2026</v>
      </c>
      <c r="T547" t="str">
        <f t="shared" si="71"/>
        <v>OK</v>
      </c>
    </row>
    <row r="548" spans="1:20">
      <c r="A548" t="str">
        <f>TRIM(Raw_Data!A548)</f>
        <v>ORD-10547</v>
      </c>
      <c r="B548" s="12">
        <f>IFERROR(IF(ISNUMBER(Raw_Data!B548),Raw_Data!B548,DATEVALUE(Raw_Data!B548)),"")</f>
        <v>46085</v>
      </c>
      <c r="C548" t="str">
        <f>PROPER(TRIM(Raw_Data!C548))</f>
        <v>Kiran</v>
      </c>
      <c r="D548" t="str">
        <f>IF(TRIM(Raw_Data!D548)="Bangalore","Bengaluru",IF(TRIM(Raw_Data!D548)="Mysore","Mysuru",IF(TRIM(Raw_Data!D548)="Cochin","Kochi",PROPER(TRIM(Raw_Data!D548)))))</f>
        <v>Mumbai</v>
      </c>
      <c r="E548" t="str">
        <f>PROPER(TRIM(Raw_Data!E548))</f>
        <v>Retail Store</v>
      </c>
      <c r="F548" t="str">
        <f>PROPER(TRIM(Raw_Data!F548))</f>
        <v>Enterprise</v>
      </c>
      <c r="G548" t="str">
        <f>PROPER(TRIM(Raw_Data!G548))</f>
        <v>Mouse</v>
      </c>
      <c r="H548" t="str">
        <f>PROPER(TRIM(Raw_Data!H548))</f>
        <v>Mouse Ergonomic</v>
      </c>
      <c r="I548">
        <f>IFERROR(MAX(0,VALUE(Raw_Data!I548)),0)</f>
        <v>2</v>
      </c>
      <c r="J548" s="13">
        <f>IFERROR(VALUE(Raw_Data!J548),0)</f>
        <v>1299</v>
      </c>
      <c r="K548" s="14">
        <f>IFERROR(VALUE(Raw_Data!K548),0)</f>
        <v>0.05</v>
      </c>
      <c r="L548" t="str">
        <f>PROPER(TRIM(Raw_Data!L548))</f>
        <v>Delivered</v>
      </c>
      <c r="M548" s="13">
        <f t="shared" si="64"/>
        <v>2598</v>
      </c>
      <c r="N548" s="13">
        <f t="shared" si="65"/>
        <v>129.9</v>
      </c>
      <c r="O548" s="13">
        <f t="shared" si="66"/>
        <v>2468.1</v>
      </c>
      <c r="P548" s="13">
        <f t="shared" si="67"/>
        <v>1428.9</v>
      </c>
      <c r="Q548" s="13">
        <f t="shared" si="68"/>
        <v>1039.2</v>
      </c>
      <c r="R548" s="10">
        <f t="shared" si="69"/>
        <v>0.421052631578947</v>
      </c>
      <c r="S548" t="str">
        <f t="shared" si="70"/>
        <v>Mar-2026</v>
      </c>
      <c r="T548" t="str">
        <f t="shared" si="71"/>
        <v>OK</v>
      </c>
    </row>
    <row r="549" spans="1:20">
      <c r="A549" t="str">
        <f>TRIM(Raw_Data!A549)</f>
        <v>ORD-10548</v>
      </c>
      <c r="B549" s="12">
        <f>IFERROR(IF(ISNUMBER(Raw_Data!B549),Raw_Data!B549,DATEVALUE(Raw_Data!B549)),"")</f>
        <v>46134</v>
      </c>
      <c r="C549" t="str">
        <f>PROPER(TRIM(Raw_Data!C549))</f>
        <v>Bhoomika</v>
      </c>
      <c r="D549" t="str">
        <f>IF(TRIM(Raw_Data!D549)="Bangalore","Bengaluru",IF(TRIM(Raw_Data!D549)="Mysore","Mysuru",IF(TRIM(Raw_Data!D549)="Cochin","Kochi",PROPER(TRIM(Raw_Data!D549)))))</f>
        <v>Chennai</v>
      </c>
      <c r="E549" t="str">
        <f>PROPER(TRIM(Raw_Data!E549))</f>
        <v>Corporate</v>
      </c>
      <c r="F549" t="str">
        <f>PROPER(TRIM(Raw_Data!F549))</f>
        <v>Smb</v>
      </c>
      <c r="G549" t="str">
        <f>PROPER(TRIM(Raw_Data!G549))</f>
        <v>Mouse</v>
      </c>
      <c r="H549" t="str">
        <f>PROPER(TRIM(Raw_Data!H549))</f>
        <v>Mouse Ergonomic</v>
      </c>
      <c r="I549">
        <f>IFERROR(MAX(0,VALUE(Raw_Data!I549)),0)</f>
        <v>1</v>
      </c>
      <c r="J549" s="13">
        <f>IFERROR(VALUE(Raw_Data!J549),0)</f>
        <v>2180</v>
      </c>
      <c r="K549" s="14">
        <f>IFERROR(VALUE(Raw_Data!K549),0)</f>
        <v>0</v>
      </c>
      <c r="L549" t="str">
        <f>PROPER(TRIM(Raw_Data!L549))</f>
        <v>Delivered</v>
      </c>
      <c r="M549" s="13">
        <f t="shared" si="64"/>
        <v>2180</v>
      </c>
      <c r="N549" s="13">
        <f t="shared" si="65"/>
        <v>0</v>
      </c>
      <c r="O549" s="13">
        <f t="shared" si="66"/>
        <v>2180</v>
      </c>
      <c r="P549" s="13">
        <f t="shared" si="67"/>
        <v>1199</v>
      </c>
      <c r="Q549" s="13">
        <f t="shared" si="68"/>
        <v>981</v>
      </c>
      <c r="R549" s="10">
        <f t="shared" si="69"/>
        <v>0.45</v>
      </c>
      <c r="S549" t="str">
        <f t="shared" si="70"/>
        <v>Apr-2026</v>
      </c>
      <c r="T549" t="str">
        <f t="shared" si="71"/>
        <v>OK</v>
      </c>
    </row>
    <row r="550" spans="1:20">
      <c r="A550" t="str">
        <f>TRIM(Raw_Data!A550)</f>
        <v>ORD-10549</v>
      </c>
      <c r="B550" s="12">
        <f>IFERROR(IF(ISNUMBER(Raw_Data!B550),Raw_Data!B550,DATEVALUE(Raw_Data!B550)),"")</f>
        <v>46169</v>
      </c>
      <c r="C550" t="str">
        <f>PROPER(TRIM(Raw_Data!C550))</f>
        <v>Kiran</v>
      </c>
      <c r="D550" t="str">
        <f>IF(TRIM(Raw_Data!D550)="Bangalore","Bengaluru",IF(TRIM(Raw_Data!D550)="Mysore","Mysuru",IF(TRIM(Raw_Data!D550)="Cochin","Kochi",PROPER(TRIM(Raw_Data!D550)))))</f>
        <v>Delhi</v>
      </c>
      <c r="E550" t="str">
        <f>PROPER(TRIM(Raw_Data!E550))</f>
        <v>Online</v>
      </c>
      <c r="F550" t="str">
        <f>PROPER(TRIM(Raw_Data!F550))</f>
        <v>Consumer</v>
      </c>
      <c r="G550" t="str">
        <f>PROPER(TRIM(Raw_Data!G550))</f>
        <v>Keyboard</v>
      </c>
      <c r="H550" t="str">
        <f>PROPER(TRIM(Raw_Data!H550))</f>
        <v>Keyboard Office</v>
      </c>
      <c r="I550">
        <f>IFERROR(MAX(0,VALUE(Raw_Data!I550)),0)</f>
        <v>6</v>
      </c>
      <c r="J550" s="13">
        <f>IFERROR(VALUE(Raw_Data!J550),0)</f>
        <v>1388</v>
      </c>
      <c r="K550" s="14">
        <f>IFERROR(VALUE(Raw_Data!K550),0)</f>
        <v>0.02</v>
      </c>
      <c r="L550" t="str">
        <f>PROPER(TRIM(Raw_Data!L550))</f>
        <v>Delivered</v>
      </c>
      <c r="M550" s="13">
        <f t="shared" si="64"/>
        <v>8328</v>
      </c>
      <c r="N550" s="13">
        <f t="shared" si="65"/>
        <v>166.56</v>
      </c>
      <c r="O550" s="13">
        <f t="shared" si="66"/>
        <v>8161.44</v>
      </c>
      <c r="P550" s="13">
        <f t="shared" si="67"/>
        <v>4830.24</v>
      </c>
      <c r="Q550" s="13">
        <f t="shared" si="68"/>
        <v>3331.2</v>
      </c>
      <c r="R550" s="10">
        <f t="shared" si="69"/>
        <v>0.408163265306122</v>
      </c>
      <c r="S550" t="str">
        <f t="shared" si="70"/>
        <v>May-2026</v>
      </c>
      <c r="T550" t="str">
        <f t="shared" si="71"/>
        <v>OK</v>
      </c>
    </row>
    <row r="551" spans="1:20">
      <c r="A551" t="str">
        <f>TRIM(Raw_Data!A551)</f>
        <v>ORD-10550</v>
      </c>
      <c r="B551" s="12">
        <f>IFERROR(IF(ISNUMBER(Raw_Data!B551),Raw_Data!B551,DATEVALUE(Raw_Data!B551)),"")</f>
        <v>46257</v>
      </c>
      <c r="C551" t="str">
        <f>PROPER(TRIM(Raw_Data!C551))</f>
        <v>Ravi</v>
      </c>
      <c r="D551" t="str">
        <f>IF(TRIM(Raw_Data!D551)="Bangalore","Bengaluru",IF(TRIM(Raw_Data!D551)="Mysore","Mysuru",IF(TRIM(Raw_Data!D551)="Cochin","Kochi",PROPER(TRIM(Raw_Data!D551)))))</f>
        <v>Chennai</v>
      </c>
      <c r="E551" t="str">
        <f>PROPER(TRIM(Raw_Data!E551))</f>
        <v>Online</v>
      </c>
      <c r="F551" t="str">
        <f>PROPER(TRIM(Raw_Data!F551))</f>
        <v>Enterprise</v>
      </c>
      <c r="G551" t="str">
        <f>PROPER(TRIM(Raw_Data!G551))</f>
        <v>Monitor</v>
      </c>
      <c r="H551" t="str">
        <f>PROPER(TRIM(Raw_Data!H551))</f>
        <v>Monitor 27</v>
      </c>
      <c r="I551">
        <f>IFERROR(MAX(0,VALUE(Raw_Data!I551)),0)</f>
        <v>7</v>
      </c>
      <c r="J551" s="13">
        <f>IFERROR(VALUE(Raw_Data!J551),0)</f>
        <v>16824</v>
      </c>
      <c r="K551" s="14">
        <f>IFERROR(VALUE(Raw_Data!K551),0)</f>
        <v>0.08</v>
      </c>
      <c r="L551" t="str">
        <f>PROPER(TRIM(Raw_Data!L551))</f>
        <v>Delivered</v>
      </c>
      <c r="M551" s="13">
        <f t="shared" si="64"/>
        <v>117768</v>
      </c>
      <c r="N551" s="13">
        <f t="shared" si="65"/>
        <v>9421.44</v>
      </c>
      <c r="O551" s="13">
        <f t="shared" si="66"/>
        <v>108346.56</v>
      </c>
      <c r="P551" s="13">
        <f t="shared" si="67"/>
        <v>82437.6</v>
      </c>
      <c r="Q551" s="13">
        <f t="shared" si="68"/>
        <v>25908.96</v>
      </c>
      <c r="R551" s="10">
        <f t="shared" si="69"/>
        <v>0.239130434782609</v>
      </c>
      <c r="S551" t="str">
        <f t="shared" si="70"/>
        <v>Aug-2026</v>
      </c>
      <c r="T551" t="str">
        <f t="shared" si="71"/>
        <v>OK</v>
      </c>
    </row>
    <row r="552" spans="1:20">
      <c r="A552" t="str">
        <f>TRIM(Raw_Data!A552)</f>
        <v>ORD-10551</v>
      </c>
      <c r="B552" s="12">
        <f>IFERROR(IF(ISNUMBER(Raw_Data!B552),Raw_Data!B552,DATEVALUE(Raw_Data!B552)),"")</f>
        <v>46028</v>
      </c>
      <c r="C552" t="str">
        <f>PROPER(TRIM(Raw_Data!C552))</f>
        <v>Priya</v>
      </c>
      <c r="D552" t="str">
        <f>IF(TRIM(Raw_Data!D552)="Bangalore","Bengaluru",IF(TRIM(Raw_Data!D552)="Mysore","Mysuru",IF(TRIM(Raw_Data!D552)="Cochin","Kochi",PROPER(TRIM(Raw_Data!D552)))))</f>
        <v>Kochi</v>
      </c>
      <c r="E552" t="str">
        <f>PROPER(TRIM(Raw_Data!E552))</f>
        <v>Retail Store</v>
      </c>
      <c r="F552" t="str">
        <f>PROPER(TRIM(Raw_Data!F552))</f>
        <v>Enterprise</v>
      </c>
      <c r="G552" t="str">
        <f>PROPER(TRIM(Raw_Data!G552))</f>
        <v>Mouse</v>
      </c>
      <c r="H552" t="str">
        <f>PROPER(TRIM(Raw_Data!H552))</f>
        <v>Mouse Basic</v>
      </c>
      <c r="I552">
        <f>IFERROR(MAX(0,VALUE(Raw_Data!I552)),0)</f>
        <v>2</v>
      </c>
      <c r="J552" s="13">
        <f>IFERROR(VALUE(Raw_Data!J552),0)</f>
        <v>1291</v>
      </c>
      <c r="K552" s="14">
        <f>IFERROR(VALUE(Raw_Data!K552),0)</f>
        <v>0.1</v>
      </c>
      <c r="L552" t="str">
        <f>PROPER(TRIM(Raw_Data!L552))</f>
        <v>Returned</v>
      </c>
      <c r="M552" s="13">
        <f t="shared" si="64"/>
        <v>2582</v>
      </c>
      <c r="N552" s="13">
        <f t="shared" si="65"/>
        <v>258.2</v>
      </c>
      <c r="O552" s="13">
        <f t="shared" si="66"/>
        <v>2323.8</v>
      </c>
      <c r="P552" s="13">
        <f t="shared" si="67"/>
        <v>1420.1</v>
      </c>
      <c r="Q552" s="13">
        <f t="shared" si="68"/>
        <v>903.7</v>
      </c>
      <c r="R552" s="10">
        <f t="shared" si="69"/>
        <v>0.388888888888889</v>
      </c>
      <c r="S552" t="str">
        <f t="shared" si="70"/>
        <v>Jan-2026</v>
      </c>
      <c r="T552" t="str">
        <f t="shared" si="71"/>
        <v>OK</v>
      </c>
    </row>
    <row r="553" spans="1:20">
      <c r="A553" t="str">
        <f>TRIM(Raw_Data!A553)</f>
        <v>ORD-10552</v>
      </c>
      <c r="B553" s="12">
        <f>IFERROR(IF(ISNUMBER(Raw_Data!B553),Raw_Data!B553,DATEVALUE(Raw_Data!B553)),"")</f>
        <v>46039</v>
      </c>
      <c r="C553" t="str">
        <f>PROPER(TRIM(Raw_Data!C553))</f>
        <v>Kiran</v>
      </c>
      <c r="D553" t="str">
        <f>IF(TRIM(Raw_Data!D553)="Bangalore","Bengaluru",IF(TRIM(Raw_Data!D553)="Mysore","Mysuru",IF(TRIM(Raw_Data!D553)="Cochin","Kochi",PROPER(TRIM(Raw_Data!D553)))))</f>
        <v>Bengaluru</v>
      </c>
      <c r="E553" t="str">
        <f>PROPER(TRIM(Raw_Data!E553))</f>
        <v>Online</v>
      </c>
      <c r="F553" t="str">
        <f>PROPER(TRIM(Raw_Data!F553))</f>
        <v>Enterprise</v>
      </c>
      <c r="G553" t="str">
        <f>PROPER(TRIM(Raw_Data!G553))</f>
        <v>Mouse</v>
      </c>
      <c r="H553" t="str">
        <f>PROPER(TRIM(Raw_Data!H553))</f>
        <v>Mouse Basic</v>
      </c>
      <c r="I553">
        <f>IFERROR(MAX(0,VALUE(Raw_Data!I553)),0)</f>
        <v>1</v>
      </c>
      <c r="J553" s="13">
        <f>IFERROR(VALUE(Raw_Data!J553),0)</f>
        <v>2172</v>
      </c>
      <c r="K553" s="14">
        <f>IFERROR(VALUE(Raw_Data!K553),0)</f>
        <v>0.08</v>
      </c>
      <c r="L553" t="str">
        <f>PROPER(TRIM(Raw_Data!L553))</f>
        <v>Pending</v>
      </c>
      <c r="M553" s="13">
        <f t="shared" si="64"/>
        <v>2172</v>
      </c>
      <c r="N553" s="13">
        <f t="shared" si="65"/>
        <v>173.76</v>
      </c>
      <c r="O553" s="13">
        <f t="shared" si="66"/>
        <v>1998.24</v>
      </c>
      <c r="P553" s="13">
        <f t="shared" si="67"/>
        <v>1194.6</v>
      </c>
      <c r="Q553" s="13">
        <f t="shared" si="68"/>
        <v>803.64</v>
      </c>
      <c r="R553" s="10">
        <f t="shared" si="69"/>
        <v>0.402173913043478</v>
      </c>
      <c r="S553" t="str">
        <f t="shared" si="70"/>
        <v>Jan-2026</v>
      </c>
      <c r="T553" t="str">
        <f t="shared" si="71"/>
        <v>OK</v>
      </c>
    </row>
    <row r="554" spans="1:20">
      <c r="A554" t="str">
        <f>TRIM(Raw_Data!A554)</f>
        <v>ORD-10553</v>
      </c>
      <c r="B554" s="12">
        <f>IFERROR(IF(ISNUMBER(Raw_Data!B554),Raw_Data!B554,DATEVALUE(Raw_Data!B554)),"")</f>
        <v>46035</v>
      </c>
      <c r="C554" t="str">
        <f>PROPER(TRIM(Raw_Data!C554))</f>
        <v>Kiran</v>
      </c>
      <c r="D554" t="str">
        <f>IF(TRIM(Raw_Data!D554)="Bangalore","Bengaluru",IF(TRIM(Raw_Data!D554)="Mysore","Mysuru",IF(TRIM(Raw_Data!D554)="Cochin","Kochi",PROPER(TRIM(Raw_Data!D554)))))</f>
        <v>Hyderabad</v>
      </c>
      <c r="E554" t="str">
        <f>PROPER(TRIM(Raw_Data!E554))</f>
        <v>Online</v>
      </c>
      <c r="F554" t="str">
        <f>PROPER(TRIM(Raw_Data!F554))</f>
        <v>Smb</v>
      </c>
      <c r="G554" t="str">
        <f>PROPER(TRIM(Raw_Data!G554))</f>
        <v>Monitor</v>
      </c>
      <c r="H554" t="str">
        <f>PROPER(TRIM(Raw_Data!H554))</f>
        <v>Monitor 24</v>
      </c>
      <c r="I554">
        <f>IFERROR(MAX(0,VALUE(Raw_Data!I554)),0)</f>
        <v>5</v>
      </c>
      <c r="J554" s="13">
        <f>IFERROR(VALUE(Raw_Data!J554),0)</f>
        <v>27114</v>
      </c>
      <c r="K554" s="14">
        <f>IFERROR(VALUE(Raw_Data!K554),0)</f>
        <v>0.08</v>
      </c>
      <c r="L554" t="str">
        <f>PROPER(TRIM(Raw_Data!L554))</f>
        <v>Delivered</v>
      </c>
      <c r="M554" s="13">
        <f t="shared" si="64"/>
        <v>135570</v>
      </c>
      <c r="N554" s="13">
        <f t="shared" si="65"/>
        <v>10845.6</v>
      </c>
      <c r="O554" s="13">
        <f t="shared" si="66"/>
        <v>124724.4</v>
      </c>
      <c r="P554" s="13">
        <f t="shared" si="67"/>
        <v>94899</v>
      </c>
      <c r="Q554" s="13">
        <f t="shared" si="68"/>
        <v>29825.4</v>
      </c>
      <c r="R554" s="10">
        <f t="shared" si="69"/>
        <v>0.239130434782609</v>
      </c>
      <c r="S554" t="str">
        <f t="shared" si="70"/>
        <v>Jan-2026</v>
      </c>
      <c r="T554" t="str">
        <f t="shared" si="71"/>
        <v>OK</v>
      </c>
    </row>
    <row r="555" spans="1:20">
      <c r="A555" t="str">
        <f>TRIM(Raw_Data!A555)</f>
        <v>ORD-10554</v>
      </c>
      <c r="B555" s="12" t="str">
        <f>IFERROR(IF(ISNUMBER(Raw_Data!B555),Raw_Data!B555,DATEVALUE(Raw_Data!B555)),"")</f>
        <v/>
      </c>
      <c r="C555" t="str">
        <f>PROPER(TRIM(Raw_Data!C555))</f>
        <v>Priya</v>
      </c>
      <c r="D555" t="str">
        <f>IF(TRIM(Raw_Data!D555)="Bangalore","Bengaluru",IF(TRIM(Raw_Data!D555)="Mysore","Mysuru",IF(TRIM(Raw_Data!D555)="Cochin","Kochi",PROPER(TRIM(Raw_Data!D555)))))</f>
        <v>Kochi</v>
      </c>
      <c r="E555" t="str">
        <f>PROPER(TRIM(Raw_Data!E555))</f>
        <v>Corporate</v>
      </c>
      <c r="F555" t="str">
        <f>PROPER(TRIM(Raw_Data!F555))</f>
        <v>Consumer</v>
      </c>
      <c r="G555" t="str">
        <f>PROPER(TRIM(Raw_Data!G555))</f>
        <v>Headset</v>
      </c>
      <c r="H555" t="str">
        <f>PROPER(TRIM(Raw_Data!H555))</f>
        <v>Headset Wireless</v>
      </c>
      <c r="I555">
        <f>IFERROR(MAX(0,VALUE(Raw_Data!I555)),0)</f>
        <v>2</v>
      </c>
      <c r="J555" s="13">
        <f>IFERROR(VALUE(Raw_Data!J555),0)</f>
        <v>6436</v>
      </c>
      <c r="K555" s="14">
        <f>IFERROR(VALUE(Raw_Data!K555),0)</f>
        <v>0</v>
      </c>
      <c r="L555" t="str">
        <f>PROPER(TRIM(Raw_Data!L555))</f>
        <v>Delivered</v>
      </c>
      <c r="M555" s="13">
        <f t="shared" si="64"/>
        <v>12872</v>
      </c>
      <c r="N555" s="13">
        <f t="shared" si="65"/>
        <v>0</v>
      </c>
      <c r="O555" s="13">
        <f t="shared" si="66"/>
        <v>12872</v>
      </c>
      <c r="P555" s="13">
        <f t="shared" si="67"/>
        <v>7723.2</v>
      </c>
      <c r="Q555" s="13">
        <f t="shared" si="68"/>
        <v>5148.8</v>
      </c>
      <c r="R555" s="10">
        <f t="shared" si="69"/>
        <v>0.4</v>
      </c>
      <c r="S555" t="str">
        <f t="shared" si="70"/>
        <v/>
      </c>
      <c r="T555" t="str">
        <f t="shared" si="71"/>
        <v>CHECK</v>
      </c>
    </row>
    <row r="556" spans="1:20">
      <c r="A556" t="str">
        <f>TRIM(Raw_Data!A556)</f>
        <v>ORD-10555</v>
      </c>
      <c r="B556" s="12">
        <f>IFERROR(IF(ISNUMBER(Raw_Data!B556),Raw_Data!B556,DATEVALUE(Raw_Data!B556)),"")</f>
        <v>46037</v>
      </c>
      <c r="C556" t="str">
        <f>PROPER(TRIM(Raw_Data!C556))</f>
        <v>Neha</v>
      </c>
      <c r="D556" t="str">
        <f>IF(TRIM(Raw_Data!D556)="Bangalore","Bengaluru",IF(TRIM(Raw_Data!D556)="Mysore","Mysuru",IF(TRIM(Raw_Data!D556)="Cochin","Kochi",PROPER(TRIM(Raw_Data!D556)))))</f>
        <v>Hyderabad</v>
      </c>
      <c r="E556" t="str">
        <f>PROPER(TRIM(Raw_Data!E556))</f>
        <v>Online</v>
      </c>
      <c r="F556" t="str">
        <f>PROPER(TRIM(Raw_Data!F556))</f>
        <v>Consumer</v>
      </c>
      <c r="G556" t="str">
        <f>PROPER(TRIM(Raw_Data!G556))</f>
        <v>Mouse</v>
      </c>
      <c r="H556" t="str">
        <f>PROPER(TRIM(Raw_Data!H556))</f>
        <v>Mouse Wireless</v>
      </c>
      <c r="I556">
        <f>IFERROR(MAX(0,VALUE(Raw_Data!I556)),0)</f>
        <v>6</v>
      </c>
      <c r="J556" s="13">
        <f>IFERROR(VALUE(Raw_Data!J556),0)</f>
        <v>1241</v>
      </c>
      <c r="K556" s="14">
        <f>IFERROR(VALUE(Raw_Data!K556),0)</f>
        <v>0.1</v>
      </c>
      <c r="L556" t="str">
        <f>PROPER(TRIM(Raw_Data!L556))</f>
        <v>Delivered</v>
      </c>
      <c r="M556" s="13">
        <f t="shared" si="64"/>
        <v>7446</v>
      </c>
      <c r="N556" s="13">
        <f t="shared" si="65"/>
        <v>744.6</v>
      </c>
      <c r="O556" s="13">
        <f t="shared" si="66"/>
        <v>6701.4</v>
      </c>
      <c r="P556" s="13">
        <f t="shared" si="67"/>
        <v>4095.3</v>
      </c>
      <c r="Q556" s="13">
        <f t="shared" si="68"/>
        <v>2606.1</v>
      </c>
      <c r="R556" s="10">
        <f t="shared" si="69"/>
        <v>0.388888888888889</v>
      </c>
      <c r="S556" t="str">
        <f t="shared" si="70"/>
        <v>Jan-2026</v>
      </c>
      <c r="T556" t="str">
        <f t="shared" si="71"/>
        <v>OK</v>
      </c>
    </row>
    <row r="557" spans="1:20">
      <c r="A557" t="str">
        <f>TRIM(Raw_Data!A557)</f>
        <v>ORD-10556</v>
      </c>
      <c r="B557" s="12">
        <f>IFERROR(IF(ISNUMBER(Raw_Data!B557),Raw_Data!B557,DATEVALUE(Raw_Data!B557)),"")</f>
        <v>46208</v>
      </c>
      <c r="C557" t="str">
        <f>PROPER(TRIM(Raw_Data!C557))</f>
        <v>Priya</v>
      </c>
      <c r="D557" t="str">
        <f>IF(TRIM(Raw_Data!D557)="Bangalore","Bengaluru",IF(TRIM(Raw_Data!D557)="Mysore","Mysuru",IF(TRIM(Raw_Data!D557)="Cochin","Kochi",PROPER(TRIM(Raw_Data!D557)))))</f>
        <v>Mysuru</v>
      </c>
      <c r="E557" t="str">
        <f>PROPER(TRIM(Raw_Data!E557))</f>
        <v>Corporate</v>
      </c>
      <c r="F557" t="str">
        <f>PROPER(TRIM(Raw_Data!F557))</f>
        <v>Enterprise</v>
      </c>
      <c r="G557" t="str">
        <f>PROPER(TRIM(Raw_Data!G557))</f>
        <v>Mouse</v>
      </c>
      <c r="H557" t="str">
        <f>PROPER(TRIM(Raw_Data!H557))</f>
        <v>Mouse Basic</v>
      </c>
      <c r="I557">
        <f>IFERROR(MAX(0,VALUE(Raw_Data!I557)),0)</f>
        <v>7</v>
      </c>
      <c r="J557" s="13">
        <f>IFERROR(VALUE(Raw_Data!J557),0)</f>
        <v>1729</v>
      </c>
      <c r="K557" s="14">
        <f>IFERROR(VALUE(Raw_Data!K557),0)</f>
        <v>0.02</v>
      </c>
      <c r="L557" t="str">
        <f>PROPER(TRIM(Raw_Data!L557))</f>
        <v>Cancelled</v>
      </c>
      <c r="M557" s="13">
        <f t="shared" si="64"/>
        <v>12103</v>
      </c>
      <c r="N557" s="13">
        <f t="shared" si="65"/>
        <v>242.06</v>
      </c>
      <c r="O557" s="13">
        <f t="shared" si="66"/>
        <v>11860.94</v>
      </c>
      <c r="P557" s="13">
        <f t="shared" si="67"/>
        <v>6656.65</v>
      </c>
      <c r="Q557" s="13">
        <f t="shared" si="68"/>
        <v>5204.29</v>
      </c>
      <c r="R557" s="10">
        <f t="shared" si="69"/>
        <v>0.438775510204082</v>
      </c>
      <c r="S557" t="str">
        <f t="shared" si="70"/>
        <v>Jul-2026</v>
      </c>
      <c r="T557" t="str">
        <f t="shared" si="71"/>
        <v>OK</v>
      </c>
    </row>
    <row r="558" spans="1:20">
      <c r="A558" t="str">
        <f>TRIM(Raw_Data!A558)</f>
        <v>ORD-10557</v>
      </c>
      <c r="B558" s="12">
        <f>IFERROR(IF(ISNUMBER(Raw_Data!B558),Raw_Data!B558,DATEVALUE(Raw_Data!B558)),"")</f>
        <v>46215</v>
      </c>
      <c r="C558" t="str">
        <f>PROPER(TRIM(Raw_Data!C558))</f>
        <v>Neha</v>
      </c>
      <c r="D558" t="str">
        <f>IF(TRIM(Raw_Data!D558)="Bangalore","Bengaluru",IF(TRIM(Raw_Data!D558)="Mysore","Mysuru",IF(TRIM(Raw_Data!D558)="Cochin","Kochi",PROPER(TRIM(Raw_Data!D558)))))</f>
        <v>Hyderabad</v>
      </c>
      <c r="E558" t="str">
        <f>PROPER(TRIM(Raw_Data!E558))</f>
        <v>Online</v>
      </c>
      <c r="F558" t="str">
        <f>PROPER(TRIM(Raw_Data!F558))</f>
        <v>Enterprise</v>
      </c>
      <c r="G558" t="str">
        <f>PROPER(TRIM(Raw_Data!G558))</f>
        <v>Monitor</v>
      </c>
      <c r="H558" t="str">
        <f>PROPER(TRIM(Raw_Data!H558))</f>
        <v>Monitor 27</v>
      </c>
      <c r="I558">
        <f>IFERROR(MAX(0,VALUE(Raw_Data!I558)),0)</f>
        <v>4</v>
      </c>
      <c r="J558" s="13">
        <f>IFERROR(VALUE(Raw_Data!J558),0)</f>
        <v>21987</v>
      </c>
      <c r="K558" s="14">
        <f>IFERROR(VALUE(Raw_Data!K558),0)</f>
        <v>0.08</v>
      </c>
      <c r="L558" t="str">
        <f>PROPER(TRIM(Raw_Data!L558))</f>
        <v>Delivered</v>
      </c>
      <c r="M558" s="13">
        <f t="shared" si="64"/>
        <v>87948</v>
      </c>
      <c r="N558" s="13">
        <f t="shared" si="65"/>
        <v>7035.84</v>
      </c>
      <c r="O558" s="13">
        <f t="shared" si="66"/>
        <v>80912.16</v>
      </c>
      <c r="P558" s="13">
        <f t="shared" si="67"/>
        <v>61563.6</v>
      </c>
      <c r="Q558" s="13">
        <f t="shared" si="68"/>
        <v>19348.56</v>
      </c>
      <c r="R558" s="10">
        <f t="shared" si="69"/>
        <v>0.239130434782609</v>
      </c>
      <c r="S558" t="str">
        <f t="shared" si="70"/>
        <v>Jul-2026</v>
      </c>
      <c r="T558" t="str">
        <f t="shared" si="71"/>
        <v>OK</v>
      </c>
    </row>
    <row r="559" spans="1:20">
      <c r="A559" t="str">
        <f>TRIM(Raw_Data!A559)</f>
        <v>ORD-10558</v>
      </c>
      <c r="B559" s="12">
        <f>IFERROR(IF(ISNUMBER(Raw_Data!B559),Raw_Data!B559,DATEVALUE(Raw_Data!B559)),"")</f>
        <v>46190</v>
      </c>
      <c r="C559" t="str">
        <f>PROPER(TRIM(Raw_Data!C559))</f>
        <v>Priya</v>
      </c>
      <c r="D559" t="str">
        <f>IF(TRIM(Raw_Data!D559)="Bangalore","Bengaluru",IF(TRIM(Raw_Data!D559)="Mysore","Mysuru",IF(TRIM(Raw_Data!D559)="Cochin","Kochi",PROPER(TRIM(Raw_Data!D559)))))</f>
        <v>Mumbai</v>
      </c>
      <c r="E559" t="str">
        <f>PROPER(TRIM(Raw_Data!E559))</f>
        <v>Corporate</v>
      </c>
      <c r="F559" t="str">
        <f>PROPER(TRIM(Raw_Data!F559))</f>
        <v>Enterprise</v>
      </c>
      <c r="G559" t="str">
        <f>PROPER(TRIM(Raw_Data!G559))</f>
        <v>Mouse</v>
      </c>
      <c r="H559" t="str">
        <f>PROPER(TRIM(Raw_Data!H559))</f>
        <v>Mouse Wireless</v>
      </c>
      <c r="I559">
        <f>IFERROR(MAX(0,VALUE(Raw_Data!I559)),0)</f>
        <v>2</v>
      </c>
      <c r="J559" s="13">
        <f>IFERROR(VALUE(Raw_Data!J559),0)</f>
        <v>865</v>
      </c>
      <c r="K559" s="14">
        <f>IFERROR(VALUE(Raw_Data!K559),0)</f>
        <v>0.05</v>
      </c>
      <c r="L559" t="str">
        <f>PROPER(TRIM(Raw_Data!L559))</f>
        <v>Delivered</v>
      </c>
      <c r="M559" s="13">
        <f t="shared" si="64"/>
        <v>1730</v>
      </c>
      <c r="N559" s="13">
        <f t="shared" si="65"/>
        <v>86.5</v>
      </c>
      <c r="O559" s="13">
        <f t="shared" si="66"/>
        <v>1643.5</v>
      </c>
      <c r="P559" s="13">
        <f t="shared" si="67"/>
        <v>951.5</v>
      </c>
      <c r="Q559" s="13">
        <f t="shared" si="68"/>
        <v>692</v>
      </c>
      <c r="R559" s="10">
        <f t="shared" si="69"/>
        <v>0.421052631578947</v>
      </c>
      <c r="S559" t="str">
        <f t="shared" si="70"/>
        <v>Jun-2026</v>
      </c>
      <c r="T559" t="str">
        <f t="shared" si="71"/>
        <v>OK</v>
      </c>
    </row>
    <row r="560" spans="1:20">
      <c r="A560" t="str">
        <f>TRIM(Raw_Data!A560)</f>
        <v>ORD-10559</v>
      </c>
      <c r="B560" s="12">
        <f>IFERROR(IF(ISNUMBER(Raw_Data!B560),Raw_Data!B560,DATEVALUE(Raw_Data!B560)),"")</f>
        <v>46117</v>
      </c>
      <c r="C560" t="str">
        <f>PROPER(TRIM(Raw_Data!C560))</f>
        <v>Neha</v>
      </c>
      <c r="D560" t="str">
        <f>IF(TRIM(Raw_Data!D560)="Bangalore","Bengaluru",IF(TRIM(Raw_Data!D560)="Mysore","Mysuru",IF(TRIM(Raw_Data!D560)="Cochin","Kochi",PROPER(TRIM(Raw_Data!D560)))))</f>
        <v>Chennai</v>
      </c>
      <c r="E560" t="str">
        <f>PROPER(TRIM(Raw_Data!E560))</f>
        <v>Online</v>
      </c>
      <c r="F560" t="str">
        <f>PROPER(TRIM(Raw_Data!F560))</f>
        <v>Smb</v>
      </c>
      <c r="G560" t="str">
        <f>PROPER(TRIM(Raw_Data!G560))</f>
        <v>Laptop</v>
      </c>
      <c r="H560" t="str">
        <f>PROPER(TRIM(Raw_Data!H560))</f>
        <v>Business Laptop 15</v>
      </c>
      <c r="I560">
        <f>IFERROR(MAX(0,VALUE(Raw_Data!I560)),0)</f>
        <v>0</v>
      </c>
      <c r="J560" s="13">
        <f>IFERROR(VALUE(Raw_Data!J560),0)</f>
        <v>73730</v>
      </c>
      <c r="K560" s="14">
        <f>IFERROR(VALUE(Raw_Data!K560),0)</f>
        <v>0.02</v>
      </c>
      <c r="L560" t="str">
        <f>PROPER(TRIM(Raw_Data!L560))</f>
        <v>Pending</v>
      </c>
      <c r="M560" s="13">
        <f t="shared" si="64"/>
        <v>0</v>
      </c>
      <c r="N560" s="13">
        <f t="shared" si="65"/>
        <v>0</v>
      </c>
      <c r="O560" s="13">
        <f t="shared" si="66"/>
        <v>0</v>
      </c>
      <c r="P560" s="13">
        <f t="shared" si="67"/>
        <v>0</v>
      </c>
      <c r="Q560" s="13">
        <f t="shared" si="68"/>
        <v>0</v>
      </c>
      <c r="R560" s="10">
        <f t="shared" si="69"/>
        <v>0</v>
      </c>
      <c r="S560" t="str">
        <f t="shared" si="70"/>
        <v>Apr-2026</v>
      </c>
      <c r="T560" t="str">
        <f t="shared" si="71"/>
        <v>CHECK</v>
      </c>
    </row>
    <row r="561" spans="1:20">
      <c r="A561" t="str">
        <f>TRIM(Raw_Data!A561)</f>
        <v>ORD-10560</v>
      </c>
      <c r="B561" s="12">
        <f>IFERROR(IF(ISNUMBER(Raw_Data!B561),Raw_Data!B561,DATEVALUE(Raw_Data!B561)),"")</f>
        <v>46234</v>
      </c>
      <c r="C561" t="str">
        <f>PROPER(TRIM(Raw_Data!C561))</f>
        <v>Meghana</v>
      </c>
      <c r="D561" t="str">
        <f>IF(TRIM(Raw_Data!D561)="Bangalore","Bengaluru",IF(TRIM(Raw_Data!D561)="Mysore","Mysuru",IF(TRIM(Raw_Data!D561)="Cochin","Kochi",PROPER(TRIM(Raw_Data!D561)))))</f>
        <v>Mumbai</v>
      </c>
      <c r="E561" t="str">
        <f>PROPER(TRIM(Raw_Data!E561))</f>
        <v>Corporate</v>
      </c>
      <c r="F561" t="str">
        <f>PROPER(TRIM(Raw_Data!F561))</f>
        <v>Smb</v>
      </c>
      <c r="G561" t="str">
        <f>PROPER(TRIM(Raw_Data!G561))</f>
        <v>Monitor</v>
      </c>
      <c r="H561" t="str">
        <f>PROPER(TRIM(Raw_Data!H561))</f>
        <v>Monitor 27</v>
      </c>
      <c r="I561">
        <f>IFERROR(MAX(0,VALUE(Raw_Data!I561)),0)</f>
        <v>5</v>
      </c>
      <c r="J561" s="13">
        <f>IFERROR(VALUE(Raw_Data!J561),0)</f>
        <v>9018</v>
      </c>
      <c r="K561" s="14">
        <f>IFERROR(VALUE(Raw_Data!K561),0)</f>
        <v>0.15</v>
      </c>
      <c r="L561" t="str">
        <f>PROPER(TRIM(Raw_Data!L561))</f>
        <v>Pending</v>
      </c>
      <c r="M561" s="13">
        <f t="shared" si="64"/>
        <v>45090</v>
      </c>
      <c r="N561" s="13">
        <f t="shared" si="65"/>
        <v>6763.5</v>
      </c>
      <c r="O561" s="13">
        <f t="shared" si="66"/>
        <v>38326.5</v>
      </c>
      <c r="P561" s="13">
        <f t="shared" si="67"/>
        <v>31563</v>
      </c>
      <c r="Q561" s="13">
        <f t="shared" si="68"/>
        <v>6763.5</v>
      </c>
      <c r="R561" s="10">
        <f t="shared" si="69"/>
        <v>0.176470588235294</v>
      </c>
      <c r="S561" t="str">
        <f t="shared" si="70"/>
        <v>Jul-2026</v>
      </c>
      <c r="T561" t="str">
        <f t="shared" si="71"/>
        <v>OK</v>
      </c>
    </row>
    <row r="562" spans="1:20">
      <c r="A562" t="str">
        <f>TRIM(Raw_Data!A562)</f>
        <v>ORD-10561</v>
      </c>
      <c r="B562" s="12">
        <f>IFERROR(IF(ISNUMBER(Raw_Data!B562),Raw_Data!B562,DATEVALUE(Raw_Data!B562)),"")</f>
        <v>46231</v>
      </c>
      <c r="C562" t="str">
        <f>PROPER(TRIM(Raw_Data!C562))</f>
        <v>Bhoomika</v>
      </c>
      <c r="D562" t="str">
        <f>IF(TRIM(Raw_Data!D562)="Bangalore","Bengaluru",IF(TRIM(Raw_Data!D562)="Mysore","Mysuru",IF(TRIM(Raw_Data!D562)="Cochin","Kochi",PROPER(TRIM(Raw_Data!D562)))))</f>
        <v>Delhi</v>
      </c>
      <c r="E562" t="str">
        <f>PROPER(TRIM(Raw_Data!E562))</f>
        <v>Retail Store</v>
      </c>
      <c r="F562" t="str">
        <f>PROPER(TRIM(Raw_Data!F562))</f>
        <v>Enterprise</v>
      </c>
      <c r="G562" t="str">
        <f>PROPER(TRIM(Raw_Data!G562))</f>
        <v>Keyboard</v>
      </c>
      <c r="H562" t="str">
        <f>PROPER(TRIM(Raw_Data!H562))</f>
        <v>Keyboard Office</v>
      </c>
      <c r="I562">
        <f>IFERROR(MAX(0,VALUE(Raw_Data!I562)),0)</f>
        <v>4</v>
      </c>
      <c r="J562" s="13">
        <f>IFERROR(VALUE(Raw_Data!J562),0)</f>
        <v>5460</v>
      </c>
      <c r="K562" s="14">
        <f>IFERROR(VALUE(Raw_Data!K562),0)</f>
        <v>0.02</v>
      </c>
      <c r="L562" t="str">
        <f>PROPER(TRIM(Raw_Data!L562))</f>
        <v>Delivered</v>
      </c>
      <c r="M562" s="13">
        <f t="shared" si="64"/>
        <v>21840</v>
      </c>
      <c r="N562" s="13">
        <f t="shared" si="65"/>
        <v>436.8</v>
      </c>
      <c r="O562" s="13">
        <f t="shared" si="66"/>
        <v>21403.2</v>
      </c>
      <c r="P562" s="13">
        <f t="shared" si="67"/>
        <v>12667.2</v>
      </c>
      <c r="Q562" s="13">
        <f t="shared" si="68"/>
        <v>8736</v>
      </c>
      <c r="R562" s="10">
        <f t="shared" si="69"/>
        <v>0.408163265306123</v>
      </c>
      <c r="S562" t="str">
        <f t="shared" si="70"/>
        <v>Jul-2026</v>
      </c>
      <c r="T562" t="str">
        <f t="shared" si="71"/>
        <v>OK</v>
      </c>
    </row>
    <row r="563" spans="1:20">
      <c r="A563" t="str">
        <f>TRIM(Raw_Data!A563)</f>
        <v>ORD-10562</v>
      </c>
      <c r="B563" s="12">
        <f>IFERROR(IF(ISNUMBER(Raw_Data!B563),Raw_Data!B563,DATEVALUE(Raw_Data!B563)),"")</f>
        <v>46141</v>
      </c>
      <c r="C563" t="str">
        <f>PROPER(TRIM(Raw_Data!C563))</f>
        <v>Neha</v>
      </c>
      <c r="D563" t="str">
        <f>IF(TRIM(Raw_Data!D563)="Bangalore","Bengaluru",IF(TRIM(Raw_Data!D563)="Mysore","Mysuru",IF(TRIM(Raw_Data!D563)="Cochin","Kochi",PROPER(TRIM(Raw_Data!D563)))))</f>
        <v>New Delhi</v>
      </c>
      <c r="E563" t="str">
        <f>PROPER(TRIM(Raw_Data!E563))</f>
        <v>Retail Store</v>
      </c>
      <c r="F563" t="str">
        <f>PROPER(TRIM(Raw_Data!F563))</f>
        <v>Smb</v>
      </c>
      <c r="G563" t="str">
        <f>PROPER(TRIM(Raw_Data!G563))</f>
        <v>Monitor</v>
      </c>
      <c r="H563" t="str">
        <f>PROPER(TRIM(Raw_Data!H563))</f>
        <v>Monitor 24</v>
      </c>
      <c r="I563">
        <f>IFERROR(MAX(0,VALUE(Raw_Data!I563)),0)</f>
        <v>5</v>
      </c>
      <c r="J563" s="13">
        <f>IFERROR(VALUE(Raw_Data!J563),0)</f>
        <v>22102</v>
      </c>
      <c r="K563" s="14">
        <f>IFERROR(VALUE(Raw_Data!K563),0)</f>
        <v>0</v>
      </c>
      <c r="L563" t="str">
        <f>PROPER(TRIM(Raw_Data!L563))</f>
        <v>Delivered</v>
      </c>
      <c r="M563" s="13">
        <f t="shared" si="64"/>
        <v>110510</v>
      </c>
      <c r="N563" s="13">
        <f t="shared" si="65"/>
        <v>0</v>
      </c>
      <c r="O563" s="13">
        <f t="shared" si="66"/>
        <v>110510</v>
      </c>
      <c r="P563" s="13">
        <f t="shared" si="67"/>
        <v>77357</v>
      </c>
      <c r="Q563" s="13">
        <f t="shared" si="68"/>
        <v>33153</v>
      </c>
      <c r="R563" s="10">
        <f t="shared" si="69"/>
        <v>0.3</v>
      </c>
      <c r="S563" t="str">
        <f t="shared" si="70"/>
        <v>Apr-2026</v>
      </c>
      <c r="T563" t="str">
        <f t="shared" si="71"/>
        <v>OK</v>
      </c>
    </row>
    <row r="564" spans="1:20">
      <c r="A564" t="str">
        <f>TRIM(Raw_Data!A564)</f>
        <v>ORD-10563</v>
      </c>
      <c r="B564" s="12">
        <f>IFERROR(IF(ISNUMBER(Raw_Data!B564),Raw_Data!B564,DATEVALUE(Raw_Data!B564)),"")</f>
        <v>46148</v>
      </c>
      <c r="C564" t="str">
        <f>PROPER(TRIM(Raw_Data!C564))</f>
        <v>Kiran</v>
      </c>
      <c r="D564" t="str">
        <f>IF(TRIM(Raw_Data!D564)="Bangalore","Bengaluru",IF(TRIM(Raw_Data!D564)="Mysore","Mysuru",IF(TRIM(Raw_Data!D564)="Cochin","Kochi",PROPER(TRIM(Raw_Data!D564)))))</f>
        <v>Pune</v>
      </c>
      <c r="E564" t="str">
        <f>PROPER(TRIM(Raw_Data!E564))</f>
        <v>Online</v>
      </c>
      <c r="F564" t="str">
        <f>PROPER(TRIM(Raw_Data!F564))</f>
        <v>Smb</v>
      </c>
      <c r="G564" t="str">
        <f>PROPER(TRIM(Raw_Data!G564))</f>
        <v>Mouse</v>
      </c>
      <c r="H564" t="str">
        <f>PROPER(TRIM(Raw_Data!H564))</f>
        <v>Mouse Basic</v>
      </c>
      <c r="I564">
        <f>IFERROR(MAX(0,VALUE(Raw_Data!I564)),0)</f>
        <v>3</v>
      </c>
      <c r="J564" s="13">
        <f>IFERROR(VALUE(Raw_Data!J564),0)</f>
        <v>1873</v>
      </c>
      <c r="K564" s="14">
        <f>IFERROR(VALUE(Raw_Data!K564),0)</f>
        <v>0</v>
      </c>
      <c r="L564" t="str">
        <f>PROPER(TRIM(Raw_Data!L564))</f>
        <v>Delivered</v>
      </c>
      <c r="M564" s="13">
        <f t="shared" si="64"/>
        <v>5619</v>
      </c>
      <c r="N564" s="13">
        <f t="shared" si="65"/>
        <v>0</v>
      </c>
      <c r="O564" s="13">
        <f t="shared" si="66"/>
        <v>5619</v>
      </c>
      <c r="P564" s="13">
        <f t="shared" si="67"/>
        <v>3090.45</v>
      </c>
      <c r="Q564" s="13">
        <f t="shared" si="68"/>
        <v>2528.55</v>
      </c>
      <c r="R564" s="10">
        <f t="shared" si="69"/>
        <v>0.45</v>
      </c>
      <c r="S564" t="str">
        <f t="shared" si="70"/>
        <v>May-2026</v>
      </c>
      <c r="T564" t="str">
        <f t="shared" si="71"/>
        <v>OK</v>
      </c>
    </row>
    <row r="565" spans="1:20">
      <c r="A565" t="str">
        <f>TRIM(Raw_Data!A565)</f>
        <v>ORD-10564</v>
      </c>
      <c r="B565" s="12">
        <f>IFERROR(IF(ISNUMBER(Raw_Data!B565),Raw_Data!B565,DATEVALUE(Raw_Data!B565)),"")</f>
        <v>46068</v>
      </c>
      <c r="C565" t="str">
        <f>PROPER(TRIM(Raw_Data!C565))</f>
        <v>Ravi</v>
      </c>
      <c r="D565" t="str">
        <f>IF(TRIM(Raw_Data!D565)="Bangalore","Bengaluru",IF(TRIM(Raw_Data!D565)="Mysore","Mysuru",IF(TRIM(Raw_Data!D565)="Cochin","Kochi",PROPER(TRIM(Raw_Data!D565)))))</f>
        <v>Mumbai</v>
      </c>
      <c r="E565" t="str">
        <f>PROPER(TRIM(Raw_Data!E565))</f>
        <v>Online</v>
      </c>
      <c r="F565" t="str">
        <f>PROPER(TRIM(Raw_Data!F565))</f>
        <v>Enterprise</v>
      </c>
      <c r="G565" t="str">
        <f>PROPER(TRIM(Raw_Data!G565))</f>
        <v>Laptop</v>
      </c>
      <c r="H565" t="str">
        <f>PROPER(TRIM(Raw_Data!H565))</f>
        <v>Laptop Pro 14</v>
      </c>
      <c r="I565">
        <f>IFERROR(MAX(0,VALUE(Raw_Data!I565)),0)</f>
        <v>5</v>
      </c>
      <c r="J565" s="13">
        <f>IFERROR(VALUE(Raw_Data!J565),0)</f>
        <v>69036</v>
      </c>
      <c r="K565" s="14">
        <f>IFERROR(VALUE(Raw_Data!K565),0)</f>
        <v>0.05</v>
      </c>
      <c r="L565" t="str">
        <f>PROPER(TRIM(Raw_Data!L565))</f>
        <v>Delivered</v>
      </c>
      <c r="M565" s="13">
        <f t="shared" si="64"/>
        <v>345180</v>
      </c>
      <c r="N565" s="13">
        <f t="shared" si="65"/>
        <v>17259</v>
      </c>
      <c r="O565" s="13">
        <f t="shared" si="66"/>
        <v>327921</v>
      </c>
      <c r="P565" s="13">
        <f t="shared" si="67"/>
        <v>269240.4</v>
      </c>
      <c r="Q565" s="13">
        <f t="shared" si="68"/>
        <v>58680.6</v>
      </c>
      <c r="R565" s="10">
        <f t="shared" si="69"/>
        <v>0.178947368421053</v>
      </c>
      <c r="S565" t="str">
        <f t="shared" si="70"/>
        <v>Feb-2026</v>
      </c>
      <c r="T565" t="str">
        <f t="shared" si="71"/>
        <v>OK</v>
      </c>
    </row>
    <row r="566" spans="1:20">
      <c r="A566" t="str">
        <f>TRIM(Raw_Data!A566)</f>
        <v>ORD-10565</v>
      </c>
      <c r="B566" s="12">
        <f>IFERROR(IF(ISNUMBER(Raw_Data!B566),Raw_Data!B566,DATEVALUE(Raw_Data!B566)),"")</f>
        <v>46178</v>
      </c>
      <c r="C566" t="str">
        <f>PROPER(TRIM(Raw_Data!C566))</f>
        <v>Neha</v>
      </c>
      <c r="D566" t="str">
        <f>IF(TRIM(Raw_Data!D566)="Bangalore","Bengaluru",IF(TRIM(Raw_Data!D566)="Mysore","Mysuru",IF(TRIM(Raw_Data!D566)="Cochin","Kochi",PROPER(TRIM(Raw_Data!D566)))))</f>
        <v>Chennai</v>
      </c>
      <c r="E566" t="str">
        <f>PROPER(TRIM(Raw_Data!E566))</f>
        <v>Retail Store</v>
      </c>
      <c r="F566" t="str">
        <f>PROPER(TRIM(Raw_Data!F566))</f>
        <v>Enterprise</v>
      </c>
      <c r="G566" t="str">
        <f>PROPER(TRIM(Raw_Data!G566))</f>
        <v>Keyboard</v>
      </c>
      <c r="H566" t="str">
        <f>PROPER(TRIM(Raw_Data!H566))</f>
        <v>Keyboard Wireless</v>
      </c>
      <c r="I566">
        <f>IFERROR(MAX(0,VALUE(Raw_Data!I566)),0)</f>
        <v>6</v>
      </c>
      <c r="J566" s="13">
        <f>IFERROR(VALUE(Raw_Data!J566),0)</f>
        <v>3524</v>
      </c>
      <c r="K566" s="14">
        <f>IFERROR(VALUE(Raw_Data!K566),0)</f>
        <v>0.15</v>
      </c>
      <c r="L566" t="str">
        <f>PROPER(TRIM(Raw_Data!L566))</f>
        <v>Delivered</v>
      </c>
      <c r="M566" s="13">
        <f t="shared" si="64"/>
        <v>21144</v>
      </c>
      <c r="N566" s="13">
        <f t="shared" si="65"/>
        <v>3171.6</v>
      </c>
      <c r="O566" s="13">
        <f t="shared" si="66"/>
        <v>17972.4</v>
      </c>
      <c r="P566" s="13">
        <f t="shared" si="67"/>
        <v>12263.52</v>
      </c>
      <c r="Q566" s="13">
        <f t="shared" si="68"/>
        <v>5708.88</v>
      </c>
      <c r="R566" s="10">
        <f t="shared" si="69"/>
        <v>0.31764705882353</v>
      </c>
      <c r="S566" t="str">
        <f t="shared" si="70"/>
        <v>Jun-2026</v>
      </c>
      <c r="T566" t="str">
        <f t="shared" si="71"/>
        <v>OK</v>
      </c>
    </row>
    <row r="567" spans="1:20">
      <c r="A567" t="str">
        <f>TRIM(Raw_Data!A567)</f>
        <v>ORD-10566</v>
      </c>
      <c r="B567" s="12">
        <f>IFERROR(IF(ISNUMBER(Raw_Data!B567),Raw_Data!B567,DATEVALUE(Raw_Data!B567)),"")</f>
        <v>46038</v>
      </c>
      <c r="C567" t="str">
        <f>PROPER(TRIM(Raw_Data!C567))</f>
        <v>Meghana</v>
      </c>
      <c r="D567" t="str">
        <f>IF(TRIM(Raw_Data!D567)="Bangalore","Bengaluru",IF(TRIM(Raw_Data!D567)="Mysore","Mysuru",IF(TRIM(Raw_Data!D567)="Cochin","Kochi",PROPER(TRIM(Raw_Data!D567)))))</f>
        <v>Hyderabad</v>
      </c>
      <c r="E567" t="str">
        <f>PROPER(TRIM(Raw_Data!E567))</f>
        <v>Online</v>
      </c>
      <c r="F567" t="str">
        <f>PROPER(TRIM(Raw_Data!F567))</f>
        <v>Consumer</v>
      </c>
      <c r="G567" t="str">
        <f>PROPER(TRIM(Raw_Data!G567))</f>
        <v>Headset</v>
      </c>
      <c r="H567" t="str">
        <f>PROPER(TRIM(Raw_Data!H567))</f>
        <v>Headset Pro</v>
      </c>
      <c r="I567">
        <f>IFERROR(MAX(0,VALUE(Raw_Data!I567)),0)</f>
        <v>2</v>
      </c>
      <c r="J567" s="13">
        <f>IFERROR(VALUE(Raw_Data!J567),0)</f>
        <v>7420</v>
      </c>
      <c r="K567" s="14">
        <f>IFERROR(VALUE(Raw_Data!K567),0)</f>
        <v>0.05</v>
      </c>
      <c r="L567" t="str">
        <f>PROPER(TRIM(Raw_Data!L567))</f>
        <v>Delivered</v>
      </c>
      <c r="M567" s="13">
        <f t="shared" si="64"/>
        <v>14840</v>
      </c>
      <c r="N567" s="13">
        <f t="shared" si="65"/>
        <v>742</v>
      </c>
      <c r="O567" s="13">
        <f t="shared" si="66"/>
        <v>14098</v>
      </c>
      <c r="P567" s="13">
        <f t="shared" si="67"/>
        <v>8904</v>
      </c>
      <c r="Q567" s="13">
        <f t="shared" si="68"/>
        <v>5194</v>
      </c>
      <c r="R567" s="10">
        <f t="shared" si="69"/>
        <v>0.368421052631579</v>
      </c>
      <c r="S567" t="str">
        <f t="shared" si="70"/>
        <v>Jan-2026</v>
      </c>
      <c r="T567" t="str">
        <f t="shared" si="71"/>
        <v>OK</v>
      </c>
    </row>
    <row r="568" spans="1:20">
      <c r="A568" t="str">
        <f>TRIM(Raw_Data!A568)</f>
        <v>ORD-10567</v>
      </c>
      <c r="B568" s="12">
        <f>IFERROR(IF(ISNUMBER(Raw_Data!B568),Raw_Data!B568,DATEVALUE(Raw_Data!B568)),"")</f>
        <v>46031</v>
      </c>
      <c r="C568" t="str">
        <f>PROPER(TRIM(Raw_Data!C568))</f>
        <v>Kiran</v>
      </c>
      <c r="D568" t="str">
        <f>IF(TRIM(Raw_Data!D568)="Bangalore","Bengaluru",IF(TRIM(Raw_Data!D568)="Mysore","Mysuru",IF(TRIM(Raw_Data!D568)="Cochin","Kochi",PROPER(TRIM(Raw_Data!D568)))))</f>
        <v>Hyderabad</v>
      </c>
      <c r="E568" t="str">
        <f>PROPER(TRIM(Raw_Data!E568))</f>
        <v>Corporate</v>
      </c>
      <c r="F568" t="str">
        <f>PROPER(TRIM(Raw_Data!F568))</f>
        <v>Smb</v>
      </c>
      <c r="G568" t="str">
        <f>PROPER(TRIM(Raw_Data!G568))</f>
        <v>Keyboard</v>
      </c>
      <c r="H568" t="str">
        <f>PROPER(TRIM(Raw_Data!H568))</f>
        <v>Keyboard Mechanical</v>
      </c>
      <c r="I568">
        <f>IFERROR(MAX(0,VALUE(Raw_Data!I568)),0)</f>
        <v>3</v>
      </c>
      <c r="J568" s="13">
        <f>IFERROR(VALUE(Raw_Data!J568),0)</f>
        <v>4456</v>
      </c>
      <c r="K568" s="14">
        <f>IFERROR(VALUE(Raw_Data!K568),0)</f>
        <v>0.05</v>
      </c>
      <c r="L568" t="str">
        <f>PROPER(TRIM(Raw_Data!L568))</f>
        <v>Returned</v>
      </c>
      <c r="M568" s="13">
        <f t="shared" si="64"/>
        <v>13368</v>
      </c>
      <c r="N568" s="13">
        <f t="shared" si="65"/>
        <v>668.4</v>
      </c>
      <c r="O568" s="13">
        <f t="shared" si="66"/>
        <v>12699.6</v>
      </c>
      <c r="P568" s="13">
        <f t="shared" si="67"/>
        <v>7753.44</v>
      </c>
      <c r="Q568" s="13">
        <f t="shared" si="68"/>
        <v>4946.16</v>
      </c>
      <c r="R568" s="10">
        <f t="shared" si="69"/>
        <v>0.389473684210526</v>
      </c>
      <c r="S568" t="str">
        <f t="shared" si="70"/>
        <v>Jan-2026</v>
      </c>
      <c r="T568" t="str">
        <f t="shared" si="71"/>
        <v>OK</v>
      </c>
    </row>
    <row r="569" spans="1:20">
      <c r="A569" t="str">
        <f>TRIM(Raw_Data!A569)</f>
        <v>ORD-10568</v>
      </c>
      <c r="B569" s="12">
        <f>IFERROR(IF(ISNUMBER(Raw_Data!B569),Raw_Data!B569,DATEVALUE(Raw_Data!B569)),"")</f>
        <v>46177</v>
      </c>
      <c r="C569" t="str">
        <f>PROPER(TRIM(Raw_Data!C569))</f>
        <v>Arjun</v>
      </c>
      <c r="D569" t="str">
        <f>IF(TRIM(Raw_Data!D569)="Bangalore","Bengaluru",IF(TRIM(Raw_Data!D569)="Mysore","Mysuru",IF(TRIM(Raw_Data!D569)="Cochin","Kochi",PROPER(TRIM(Raw_Data!D569)))))</f>
        <v>Pune</v>
      </c>
      <c r="E569" t="str">
        <f>PROPER(TRIM(Raw_Data!E569))</f>
        <v>Corporate</v>
      </c>
      <c r="F569" t="str">
        <f>PROPER(TRIM(Raw_Data!F569))</f>
        <v>Smb</v>
      </c>
      <c r="G569" t="str">
        <f>PROPER(TRIM(Raw_Data!G569))</f>
        <v>Mouse</v>
      </c>
      <c r="H569" t="str">
        <f>PROPER(TRIM(Raw_Data!H569))</f>
        <v>Mouse Ergonomic</v>
      </c>
      <c r="I569">
        <f>IFERROR(MAX(0,VALUE(Raw_Data!I569)),0)</f>
        <v>6</v>
      </c>
      <c r="J569" s="13">
        <f>IFERROR(VALUE(Raw_Data!J569),0)</f>
        <v>737</v>
      </c>
      <c r="K569" s="14">
        <f>IFERROR(VALUE(Raw_Data!K569),0)</f>
        <v>0.15</v>
      </c>
      <c r="L569" t="str">
        <f>PROPER(TRIM(Raw_Data!L569))</f>
        <v>Delivered</v>
      </c>
      <c r="M569" s="13">
        <f t="shared" si="64"/>
        <v>4422</v>
      </c>
      <c r="N569" s="13">
        <f t="shared" si="65"/>
        <v>663.3</v>
      </c>
      <c r="O569" s="13">
        <f t="shared" si="66"/>
        <v>3758.7</v>
      </c>
      <c r="P569" s="13">
        <f t="shared" si="67"/>
        <v>2432.1</v>
      </c>
      <c r="Q569" s="13">
        <f t="shared" si="68"/>
        <v>1326.6</v>
      </c>
      <c r="R569" s="10">
        <f t="shared" si="69"/>
        <v>0.352941176470588</v>
      </c>
      <c r="S569" t="str">
        <f t="shared" si="70"/>
        <v>Jun-2026</v>
      </c>
      <c r="T569" t="str">
        <f t="shared" si="71"/>
        <v>OK</v>
      </c>
    </row>
    <row r="570" spans="1:20">
      <c r="A570" t="str">
        <f>TRIM(Raw_Data!A570)</f>
        <v>ORD-10569</v>
      </c>
      <c r="B570" s="12">
        <f>IFERROR(IF(ISNUMBER(Raw_Data!B570),Raw_Data!B570,DATEVALUE(Raw_Data!B570)),"")</f>
        <v>46227</v>
      </c>
      <c r="C570" t="str">
        <f>PROPER(TRIM(Raw_Data!C570))</f>
        <v>Ravi</v>
      </c>
      <c r="D570" t="str">
        <f>IF(TRIM(Raw_Data!D570)="Bangalore","Bengaluru",IF(TRIM(Raw_Data!D570)="Mysore","Mysuru",IF(TRIM(Raw_Data!D570)="Cochin","Kochi",PROPER(TRIM(Raw_Data!D570)))))</f>
        <v>Mumbai</v>
      </c>
      <c r="E570" t="str">
        <f>PROPER(TRIM(Raw_Data!E570))</f>
        <v>Retail Store</v>
      </c>
      <c r="F570" t="str">
        <f>PROPER(TRIM(Raw_Data!F570))</f>
        <v>Consumer</v>
      </c>
      <c r="G570" t="str">
        <f>PROPER(TRIM(Raw_Data!G570))</f>
        <v>Laptop</v>
      </c>
      <c r="H570" t="str">
        <f>PROPER(TRIM(Raw_Data!H570))</f>
        <v>Laptop Air 13</v>
      </c>
      <c r="I570">
        <f>IFERROR(MAX(0,VALUE(Raw_Data!I570)),0)</f>
        <v>1</v>
      </c>
      <c r="J570" s="13">
        <f>IFERROR(VALUE(Raw_Data!J570),0)</f>
        <v>80310</v>
      </c>
      <c r="K570" s="14">
        <f>IFERROR(VALUE(Raw_Data!K570),0)</f>
        <v>0.08</v>
      </c>
      <c r="L570" t="str">
        <f>PROPER(TRIM(Raw_Data!L570))</f>
        <v>Cancelled</v>
      </c>
      <c r="M570" s="13">
        <f t="shared" si="64"/>
        <v>80310</v>
      </c>
      <c r="N570" s="13">
        <f t="shared" si="65"/>
        <v>6424.8</v>
      </c>
      <c r="O570" s="13">
        <f t="shared" si="66"/>
        <v>73885.2</v>
      </c>
      <c r="P570" s="13">
        <f t="shared" si="67"/>
        <v>62641.8</v>
      </c>
      <c r="Q570" s="13">
        <f t="shared" si="68"/>
        <v>11243.4</v>
      </c>
      <c r="R570" s="10">
        <f t="shared" si="69"/>
        <v>0.152173913043478</v>
      </c>
      <c r="S570" t="str">
        <f t="shared" si="70"/>
        <v>Jul-2026</v>
      </c>
      <c r="T570" t="str">
        <f t="shared" si="71"/>
        <v>OK</v>
      </c>
    </row>
    <row r="571" spans="1:20">
      <c r="A571" t="str">
        <f>TRIM(Raw_Data!A571)</f>
        <v>ORD-10570</v>
      </c>
      <c r="B571" s="12">
        <f>IFERROR(IF(ISNUMBER(Raw_Data!B571),Raw_Data!B571,DATEVALUE(Raw_Data!B571)),"")</f>
        <v>46171</v>
      </c>
      <c r="C571" t="str">
        <f>PROPER(TRIM(Raw_Data!C571))</f>
        <v>Asha</v>
      </c>
      <c r="D571" t="str">
        <f>IF(TRIM(Raw_Data!D571)="Bangalore","Bengaluru",IF(TRIM(Raw_Data!D571)="Mysore","Mysuru",IF(TRIM(Raw_Data!D571)="Cochin","Kochi",PROPER(TRIM(Raw_Data!D571)))))</f>
        <v>Mumbai</v>
      </c>
      <c r="E571" t="str">
        <f>PROPER(TRIM(Raw_Data!E571))</f>
        <v>Retail Store</v>
      </c>
      <c r="F571" t="str">
        <f>PROPER(TRIM(Raw_Data!F571))</f>
        <v>Consumer</v>
      </c>
      <c r="G571" t="str">
        <f>PROPER(TRIM(Raw_Data!G571))</f>
        <v>Keyboard</v>
      </c>
      <c r="H571" t="str">
        <f>PROPER(TRIM(Raw_Data!H571))</f>
        <v>Keyboard Mechanical</v>
      </c>
      <c r="I571">
        <f>IFERROR(MAX(0,VALUE(Raw_Data!I571)),0)</f>
        <v>8</v>
      </c>
      <c r="J571" s="13">
        <f>IFERROR(VALUE(Raw_Data!J571),0)</f>
        <v>3077</v>
      </c>
      <c r="K571" s="14">
        <f>IFERROR(VALUE(Raw_Data!K571),0)</f>
        <v>0.02</v>
      </c>
      <c r="L571" t="str">
        <f>PROPER(TRIM(Raw_Data!L571))</f>
        <v>Pending</v>
      </c>
      <c r="M571" s="13">
        <f t="shared" si="64"/>
        <v>24616</v>
      </c>
      <c r="N571" s="13">
        <f t="shared" si="65"/>
        <v>492.32</v>
      </c>
      <c r="O571" s="13">
        <f t="shared" si="66"/>
        <v>24123.68</v>
      </c>
      <c r="P571" s="13">
        <f t="shared" si="67"/>
        <v>14277.28</v>
      </c>
      <c r="Q571" s="13">
        <f t="shared" si="68"/>
        <v>9846.4</v>
      </c>
      <c r="R571" s="10">
        <f t="shared" si="69"/>
        <v>0.408163265306123</v>
      </c>
      <c r="S571" t="str">
        <f t="shared" si="70"/>
        <v>May-2026</v>
      </c>
      <c r="T571" t="str">
        <f t="shared" si="71"/>
        <v>OK</v>
      </c>
    </row>
    <row r="572" spans="1:20">
      <c r="A572" t="str">
        <f>TRIM(Raw_Data!A572)</f>
        <v>ORD-10571</v>
      </c>
      <c r="B572" s="12">
        <f>IFERROR(IF(ISNUMBER(Raw_Data!B572),Raw_Data!B572,DATEVALUE(Raw_Data!B572)),"")</f>
        <v>46171</v>
      </c>
      <c r="C572" t="str">
        <f>PROPER(TRIM(Raw_Data!C572))</f>
        <v>Asha</v>
      </c>
      <c r="D572" t="str">
        <f>IF(TRIM(Raw_Data!D572)="Bangalore","Bengaluru",IF(TRIM(Raw_Data!D572)="Mysore","Mysuru",IF(TRIM(Raw_Data!D572)="Cochin","Kochi",PROPER(TRIM(Raw_Data!D572)))))</f>
        <v>Mumbai</v>
      </c>
      <c r="E572" t="str">
        <f>PROPER(TRIM(Raw_Data!E572))</f>
        <v>Corporate</v>
      </c>
      <c r="F572" t="str">
        <f>PROPER(TRIM(Raw_Data!F572))</f>
        <v>Enterprise</v>
      </c>
      <c r="G572" t="str">
        <f>PROPER(TRIM(Raw_Data!G572))</f>
        <v>Monitor</v>
      </c>
      <c r="H572" t="str">
        <f>PROPER(TRIM(Raw_Data!H572))</f>
        <v>Monitor 32</v>
      </c>
      <c r="I572">
        <f>IFERROR(MAX(0,VALUE(Raw_Data!I572)),0)</f>
        <v>6</v>
      </c>
      <c r="J572" s="13">
        <f>IFERROR(VALUE(Raw_Data!J572),0)</f>
        <v>16695</v>
      </c>
      <c r="K572" s="14">
        <f>IFERROR(VALUE(Raw_Data!K572),0)</f>
        <v>0.02</v>
      </c>
      <c r="L572" t="str">
        <f>PROPER(TRIM(Raw_Data!L572))</f>
        <v>Cancelled</v>
      </c>
      <c r="M572" s="13">
        <f t="shared" si="64"/>
        <v>100170</v>
      </c>
      <c r="N572" s="13">
        <f t="shared" si="65"/>
        <v>2003.4</v>
      </c>
      <c r="O572" s="13">
        <f t="shared" si="66"/>
        <v>98166.6</v>
      </c>
      <c r="P572" s="13">
        <f t="shared" si="67"/>
        <v>70119</v>
      </c>
      <c r="Q572" s="13">
        <f t="shared" si="68"/>
        <v>28047.6</v>
      </c>
      <c r="R572" s="10">
        <f t="shared" si="69"/>
        <v>0.285714285714286</v>
      </c>
      <c r="S572" t="str">
        <f t="shared" si="70"/>
        <v>May-2026</v>
      </c>
      <c r="T572" t="str">
        <f t="shared" si="71"/>
        <v>OK</v>
      </c>
    </row>
    <row r="573" spans="1:20">
      <c r="A573" t="str">
        <f>TRIM(Raw_Data!A573)</f>
        <v>ORD-10572</v>
      </c>
      <c r="B573" s="12">
        <f>IFERROR(IF(ISNUMBER(Raw_Data!B573),Raw_Data!B573,DATEVALUE(Raw_Data!B573)),"")</f>
        <v>46209</v>
      </c>
      <c r="C573" t="str">
        <f>PROPER(TRIM(Raw_Data!C573))</f>
        <v>Bhoomika</v>
      </c>
      <c r="D573" t="str">
        <f>IF(TRIM(Raw_Data!D573)="Bangalore","Bengaluru",IF(TRIM(Raw_Data!D573)="Mysore","Mysuru",IF(TRIM(Raw_Data!D573)="Cochin","Kochi",PROPER(TRIM(Raw_Data!D573)))))</f>
        <v>Chennai</v>
      </c>
      <c r="E573" t="str">
        <f>PROPER(TRIM(Raw_Data!E573))</f>
        <v>Retail Store</v>
      </c>
      <c r="F573" t="str">
        <f>PROPER(TRIM(Raw_Data!F573))</f>
        <v>Consumer</v>
      </c>
      <c r="G573" t="str">
        <f>PROPER(TRIM(Raw_Data!G573))</f>
        <v>Monitor</v>
      </c>
      <c r="H573" t="str">
        <f>PROPER(TRIM(Raw_Data!H573))</f>
        <v>Monitor 27</v>
      </c>
      <c r="I573">
        <f>IFERROR(MAX(0,VALUE(Raw_Data!I573)),0)</f>
        <v>2</v>
      </c>
      <c r="J573" s="13">
        <f>IFERROR(VALUE(Raw_Data!J573),0)</f>
        <v>19141</v>
      </c>
      <c r="K573" s="14">
        <f>IFERROR(VALUE(Raw_Data!K573),0)</f>
        <v>0</v>
      </c>
      <c r="L573" t="str">
        <f>PROPER(TRIM(Raw_Data!L573))</f>
        <v>Delivered</v>
      </c>
      <c r="M573" s="13">
        <f t="shared" si="64"/>
        <v>38282</v>
      </c>
      <c r="N573" s="13">
        <f t="shared" si="65"/>
        <v>0</v>
      </c>
      <c r="O573" s="13">
        <f t="shared" si="66"/>
        <v>38282</v>
      </c>
      <c r="P573" s="13">
        <f t="shared" si="67"/>
        <v>26797.4</v>
      </c>
      <c r="Q573" s="13">
        <f t="shared" si="68"/>
        <v>11484.6</v>
      </c>
      <c r="R573" s="10">
        <f t="shared" si="69"/>
        <v>0.3</v>
      </c>
      <c r="S573" t="str">
        <f t="shared" si="70"/>
        <v>Jul-2026</v>
      </c>
      <c r="T573" t="str">
        <f t="shared" si="71"/>
        <v>OK</v>
      </c>
    </row>
    <row r="574" spans="1:20">
      <c r="A574" t="str">
        <f>TRIM(Raw_Data!A574)</f>
        <v>ORD-10573</v>
      </c>
      <c r="B574" s="12">
        <f>IFERROR(IF(ISNUMBER(Raw_Data!B574),Raw_Data!B574,DATEVALUE(Raw_Data!B574)),"")</f>
        <v>46229</v>
      </c>
      <c r="C574" t="str">
        <f>PROPER(TRIM(Raw_Data!C574))</f>
        <v>Meghana</v>
      </c>
      <c r="D574" t="str">
        <f>IF(TRIM(Raw_Data!D574)="Bangalore","Bengaluru",IF(TRIM(Raw_Data!D574)="Mysore","Mysuru",IF(TRIM(Raw_Data!D574)="Cochin","Kochi",PROPER(TRIM(Raw_Data!D574)))))</f>
        <v>Mumbai</v>
      </c>
      <c r="E574" t="str">
        <f>PROPER(TRIM(Raw_Data!E574))</f>
        <v>Corporate</v>
      </c>
      <c r="F574" t="str">
        <f>PROPER(TRIM(Raw_Data!F574))</f>
        <v>Enterprise</v>
      </c>
      <c r="G574" t="str">
        <f>PROPER(TRIM(Raw_Data!G574))</f>
        <v>Monitor</v>
      </c>
      <c r="H574" t="str">
        <f>PROPER(TRIM(Raw_Data!H574))</f>
        <v>Monitor 32</v>
      </c>
      <c r="I574">
        <f>IFERROR(MAX(0,VALUE(Raw_Data!I574)),0)</f>
        <v>6</v>
      </c>
      <c r="J574" s="13">
        <f>IFERROR(VALUE(Raw_Data!J574),0)</f>
        <v>11831</v>
      </c>
      <c r="K574" s="14">
        <f>IFERROR(VALUE(Raw_Data!K574),0)</f>
        <v>0.02</v>
      </c>
      <c r="L574" t="str">
        <f>PROPER(TRIM(Raw_Data!L574))</f>
        <v>Cancelled</v>
      </c>
      <c r="M574" s="13">
        <f t="shared" si="64"/>
        <v>70986</v>
      </c>
      <c r="N574" s="13">
        <f t="shared" si="65"/>
        <v>1419.72</v>
      </c>
      <c r="O574" s="13">
        <f t="shared" si="66"/>
        <v>69566.28</v>
      </c>
      <c r="P574" s="13">
        <f t="shared" si="67"/>
        <v>49690.2</v>
      </c>
      <c r="Q574" s="13">
        <f t="shared" si="68"/>
        <v>19876.08</v>
      </c>
      <c r="R574" s="10">
        <f t="shared" si="69"/>
        <v>0.285714285714286</v>
      </c>
      <c r="S574" t="str">
        <f t="shared" si="70"/>
        <v>Jul-2026</v>
      </c>
      <c r="T574" t="str">
        <f t="shared" si="71"/>
        <v>OK</v>
      </c>
    </row>
    <row r="575" spans="1:20">
      <c r="A575" t="str">
        <f>TRIM(Raw_Data!A575)</f>
        <v>ORD-10574</v>
      </c>
      <c r="B575" s="12">
        <f>IFERROR(IF(ISNUMBER(Raw_Data!B575),Raw_Data!B575,DATEVALUE(Raw_Data!B575)),"")</f>
        <v>46214</v>
      </c>
      <c r="C575" t="str">
        <f>PROPER(TRIM(Raw_Data!C575))</f>
        <v>Meghana</v>
      </c>
      <c r="D575" t="str">
        <f>IF(TRIM(Raw_Data!D575)="Bangalore","Bengaluru",IF(TRIM(Raw_Data!D575)="Mysore","Mysuru",IF(TRIM(Raw_Data!D575)="Cochin","Kochi",PROPER(TRIM(Raw_Data!D575)))))</f>
        <v>Pune</v>
      </c>
      <c r="E575" t="str">
        <f>PROPER(TRIM(Raw_Data!E575))</f>
        <v>Corporate</v>
      </c>
      <c r="F575" t="str">
        <f>PROPER(TRIM(Raw_Data!F575))</f>
        <v>Consumer</v>
      </c>
      <c r="G575" t="str">
        <f>PROPER(TRIM(Raw_Data!G575))</f>
        <v>Laptop</v>
      </c>
      <c r="H575" t="str">
        <f>PROPER(TRIM(Raw_Data!H575))</f>
        <v>Business Laptop 15</v>
      </c>
      <c r="I575">
        <f>IFERROR(MAX(0,VALUE(Raw_Data!I575)),0)</f>
        <v>6</v>
      </c>
      <c r="J575" s="13">
        <f>IFERROR(VALUE(Raw_Data!J575),0)</f>
        <v>77399</v>
      </c>
      <c r="K575" s="14">
        <f>IFERROR(VALUE(Raw_Data!K575),0)</f>
        <v>0.02</v>
      </c>
      <c r="L575" t="str">
        <f>PROPER(TRIM(Raw_Data!L575))</f>
        <v>Delivered</v>
      </c>
      <c r="M575" s="13">
        <f t="shared" si="64"/>
        <v>464394</v>
      </c>
      <c r="N575" s="13">
        <f t="shared" si="65"/>
        <v>9287.88</v>
      </c>
      <c r="O575" s="13">
        <f t="shared" si="66"/>
        <v>455106.12</v>
      </c>
      <c r="P575" s="13">
        <f t="shared" si="67"/>
        <v>362227.32</v>
      </c>
      <c r="Q575" s="13">
        <f t="shared" si="68"/>
        <v>92878.8</v>
      </c>
      <c r="R575" s="10">
        <f t="shared" si="69"/>
        <v>0.204081632653061</v>
      </c>
      <c r="S575" t="str">
        <f t="shared" si="70"/>
        <v>Jul-2026</v>
      </c>
      <c r="T575" t="str">
        <f t="shared" si="71"/>
        <v>OK</v>
      </c>
    </row>
    <row r="576" spans="1:20">
      <c r="A576" t="str">
        <f>TRIM(Raw_Data!A576)</f>
        <v>ORD-10575</v>
      </c>
      <c r="B576" s="12">
        <f>IFERROR(IF(ISNUMBER(Raw_Data!B576),Raw_Data!B576,DATEVALUE(Raw_Data!B576)),"")</f>
        <v>46057</v>
      </c>
      <c r="C576" t="str">
        <f>PROPER(TRIM(Raw_Data!C576))</f>
        <v>Asha</v>
      </c>
      <c r="D576" t="str">
        <f>IF(TRIM(Raw_Data!D576)="Bangalore","Bengaluru",IF(TRIM(Raw_Data!D576)="Mysore","Mysuru",IF(TRIM(Raw_Data!D576)="Cochin","Kochi",PROPER(TRIM(Raw_Data!D576)))))</f>
        <v>Delhi</v>
      </c>
      <c r="E576" t="str">
        <f>PROPER(TRIM(Raw_Data!E576))</f>
        <v>Online</v>
      </c>
      <c r="F576" t="str">
        <f>PROPER(TRIM(Raw_Data!F576))</f>
        <v>Enterprise</v>
      </c>
      <c r="G576" t="str">
        <f>PROPER(TRIM(Raw_Data!G576))</f>
        <v>Mouse</v>
      </c>
      <c r="H576" t="str">
        <f>PROPER(TRIM(Raw_Data!H576))</f>
        <v>Mouse Ergonomic</v>
      </c>
      <c r="I576">
        <f>IFERROR(MAX(0,VALUE(Raw_Data!I576)),0)</f>
        <v>7</v>
      </c>
      <c r="J576" s="13">
        <f>IFERROR(VALUE(Raw_Data!J576),0)</f>
        <v>1707</v>
      </c>
      <c r="K576" s="14">
        <f>IFERROR(VALUE(Raw_Data!K576),0)</f>
        <v>0.05</v>
      </c>
      <c r="L576" t="str">
        <f>PROPER(TRIM(Raw_Data!L576))</f>
        <v>Delivered</v>
      </c>
      <c r="M576" s="13">
        <f t="shared" si="64"/>
        <v>11949</v>
      </c>
      <c r="N576" s="13">
        <f t="shared" si="65"/>
        <v>597.45</v>
      </c>
      <c r="O576" s="13">
        <f t="shared" si="66"/>
        <v>11351.55</v>
      </c>
      <c r="P576" s="13">
        <f t="shared" si="67"/>
        <v>6571.95</v>
      </c>
      <c r="Q576" s="13">
        <f t="shared" si="68"/>
        <v>4779.6</v>
      </c>
      <c r="R576" s="10">
        <f t="shared" si="69"/>
        <v>0.421052631578947</v>
      </c>
      <c r="S576" t="str">
        <f t="shared" si="70"/>
        <v>Feb-2026</v>
      </c>
      <c r="T576" t="str">
        <f t="shared" si="71"/>
        <v>OK</v>
      </c>
    </row>
    <row r="577" spans="1:20">
      <c r="A577" t="str">
        <f>TRIM(Raw_Data!A577)</f>
        <v>ORD-10576</v>
      </c>
      <c r="B577" s="12">
        <f>IFERROR(IF(ISNUMBER(Raw_Data!B577),Raw_Data!B577,DATEVALUE(Raw_Data!B577)),"")</f>
        <v>46028</v>
      </c>
      <c r="C577" t="str">
        <f>PROPER(TRIM(Raw_Data!C577))</f>
        <v>Bhoomika</v>
      </c>
      <c r="D577" t="str">
        <f>IF(TRIM(Raw_Data!D577)="Bangalore","Bengaluru",IF(TRIM(Raw_Data!D577)="Mysore","Mysuru",IF(TRIM(Raw_Data!D577)="Cochin","Kochi",PROPER(TRIM(Raw_Data!D577)))))</f>
        <v>Delhi</v>
      </c>
      <c r="E577" t="str">
        <f>PROPER(TRIM(Raw_Data!E577))</f>
        <v>Online</v>
      </c>
      <c r="F577" t="str">
        <f>PROPER(TRIM(Raw_Data!F577))</f>
        <v>Smb</v>
      </c>
      <c r="G577" t="str">
        <f>PROPER(TRIM(Raw_Data!G577))</f>
        <v>Laptop</v>
      </c>
      <c r="H577" t="str">
        <f>PROPER(TRIM(Raw_Data!H577))</f>
        <v>Laptop Air 13</v>
      </c>
      <c r="I577">
        <f>IFERROR(MAX(0,VALUE(Raw_Data!I577)),0)</f>
        <v>2</v>
      </c>
      <c r="J577" s="13">
        <f>IFERROR(VALUE(Raw_Data!J577),0)</f>
        <v>57109</v>
      </c>
      <c r="K577" s="14">
        <f>IFERROR(VALUE(Raw_Data!K577),0)</f>
        <v>0.05</v>
      </c>
      <c r="L577" t="str">
        <f>PROPER(TRIM(Raw_Data!L577))</f>
        <v>Delivered</v>
      </c>
      <c r="M577" s="13">
        <f t="shared" si="64"/>
        <v>114218</v>
      </c>
      <c r="N577" s="13">
        <f t="shared" si="65"/>
        <v>5710.9</v>
      </c>
      <c r="O577" s="13">
        <f t="shared" si="66"/>
        <v>108507.1</v>
      </c>
      <c r="P577" s="13">
        <f t="shared" si="67"/>
        <v>89090.04</v>
      </c>
      <c r="Q577" s="13">
        <f t="shared" si="68"/>
        <v>19417.06</v>
      </c>
      <c r="R577" s="10">
        <f t="shared" si="69"/>
        <v>0.178947368421053</v>
      </c>
      <c r="S577" t="str">
        <f t="shared" si="70"/>
        <v>Jan-2026</v>
      </c>
      <c r="T577" t="str">
        <f t="shared" si="71"/>
        <v>OK</v>
      </c>
    </row>
    <row r="578" spans="1:20">
      <c r="A578" t="str">
        <f>TRIM(Raw_Data!A578)</f>
        <v>ORD-10577</v>
      </c>
      <c r="B578" s="12">
        <f>IFERROR(IF(ISNUMBER(Raw_Data!B578),Raw_Data!B578,DATEVALUE(Raw_Data!B578)),"")</f>
        <v>46163</v>
      </c>
      <c r="C578" t="str">
        <f>PROPER(TRIM(Raw_Data!C578))</f>
        <v>Bhoomika</v>
      </c>
      <c r="D578" t="str">
        <f>IF(TRIM(Raw_Data!D578)="Bangalore","Bengaluru",IF(TRIM(Raw_Data!D578)="Mysore","Mysuru",IF(TRIM(Raw_Data!D578)="Cochin","Kochi",PROPER(TRIM(Raw_Data!D578)))))</f>
        <v>Mumbai</v>
      </c>
      <c r="E578" t="str">
        <f>PROPER(TRIM(Raw_Data!E578))</f>
        <v>Online</v>
      </c>
      <c r="F578" t="str">
        <f>PROPER(TRIM(Raw_Data!F578))</f>
        <v>Consumer</v>
      </c>
      <c r="G578" t="str">
        <f>PROPER(TRIM(Raw_Data!G578))</f>
        <v>Headset</v>
      </c>
      <c r="H578" t="str">
        <f>PROPER(TRIM(Raw_Data!H578))</f>
        <v>Headset Office</v>
      </c>
      <c r="I578">
        <f>IFERROR(MAX(0,VALUE(Raw_Data!I578)),0)</f>
        <v>5</v>
      </c>
      <c r="J578" s="13">
        <f>IFERROR(VALUE(Raw_Data!J578),0)</f>
        <v>1833</v>
      </c>
      <c r="K578" s="14">
        <f>IFERROR(VALUE(Raw_Data!K578),0)</f>
        <v>0.08</v>
      </c>
      <c r="L578" t="str">
        <f>PROPER(TRIM(Raw_Data!L578))</f>
        <v>Delivered</v>
      </c>
      <c r="M578" s="13">
        <f t="shared" ref="M578:M641" si="72">I578*J578</f>
        <v>9165</v>
      </c>
      <c r="N578" s="13">
        <f t="shared" ref="N578:N641" si="73">M578*K578</f>
        <v>733.2</v>
      </c>
      <c r="O578" s="13">
        <f t="shared" ref="O578:O641" si="74">M578-N578</f>
        <v>8431.8</v>
      </c>
      <c r="P578" s="13">
        <f t="shared" ref="P578:P641" si="75">M578*IF(G578="Laptop",0.78,IF(G578="Monitor",0.7,IF(G578="Keyboard",0.58,IF(G578="Mouse",0.55,0.6))))</f>
        <v>5499</v>
      </c>
      <c r="Q578" s="13">
        <f t="shared" ref="Q578:Q641" si="76">O578-P578</f>
        <v>2932.8</v>
      </c>
      <c r="R578" s="10">
        <f t="shared" ref="R578:R641" si="77">IFERROR(Q578/O578,0)</f>
        <v>0.347826086956522</v>
      </c>
      <c r="S578" t="str">
        <f t="shared" ref="S578:S641" si="78">IF(B578="","",TEXT(B578,"mmm-yyyy"))</f>
        <v>May-2026</v>
      </c>
      <c r="T578" t="str">
        <f t="shared" ref="T578:T641" si="79">IF(OR(A578="",B578="",I578&lt;=0,J578&lt;=0,L578=""),"CHECK","OK")</f>
        <v>OK</v>
      </c>
    </row>
    <row r="579" spans="1:20">
      <c r="A579" t="str">
        <f>TRIM(Raw_Data!A579)</f>
        <v>ORD-10578</v>
      </c>
      <c r="B579" s="12">
        <f>IFERROR(IF(ISNUMBER(Raw_Data!B579),Raw_Data!B579,DATEVALUE(Raw_Data!B579)),"")</f>
        <v>46086</v>
      </c>
      <c r="C579" t="str">
        <f>PROPER(TRIM(Raw_Data!C579))</f>
        <v>Priya</v>
      </c>
      <c r="D579" t="str">
        <f>IF(TRIM(Raw_Data!D579)="Bangalore","Bengaluru",IF(TRIM(Raw_Data!D579)="Mysore","Mysuru",IF(TRIM(Raw_Data!D579)="Cochin","Kochi",PROPER(TRIM(Raw_Data!D579)))))</f>
        <v>Hyderabad</v>
      </c>
      <c r="E579" t="str">
        <f>PROPER(TRIM(Raw_Data!E579))</f>
        <v>Corporate</v>
      </c>
      <c r="F579" t="str">
        <f>PROPER(TRIM(Raw_Data!F579))</f>
        <v>Enterprise</v>
      </c>
      <c r="G579" t="str">
        <f>PROPER(TRIM(Raw_Data!G579))</f>
        <v>Laptop</v>
      </c>
      <c r="H579" t="str">
        <f>PROPER(TRIM(Raw_Data!H579))</f>
        <v>Laptop Air 13</v>
      </c>
      <c r="I579">
        <f>IFERROR(MAX(0,VALUE(Raw_Data!I579)),0)</f>
        <v>8</v>
      </c>
      <c r="J579" s="13">
        <f>IFERROR(VALUE(Raw_Data!J579),0)</f>
        <v>57132</v>
      </c>
      <c r="K579" s="14">
        <f>IFERROR(VALUE(Raw_Data!K579),0)</f>
        <v>0.02</v>
      </c>
      <c r="L579" t="str">
        <f>PROPER(TRIM(Raw_Data!L579))</f>
        <v>Returned</v>
      </c>
      <c r="M579" s="13">
        <f t="shared" si="72"/>
        <v>457056</v>
      </c>
      <c r="N579" s="13">
        <f t="shared" si="73"/>
        <v>9141.12</v>
      </c>
      <c r="O579" s="13">
        <f t="shared" si="74"/>
        <v>447914.88</v>
      </c>
      <c r="P579" s="13">
        <f t="shared" si="75"/>
        <v>356503.68</v>
      </c>
      <c r="Q579" s="13">
        <f t="shared" si="76"/>
        <v>91411.2</v>
      </c>
      <c r="R579" s="10">
        <f t="shared" si="77"/>
        <v>0.204081632653061</v>
      </c>
      <c r="S579" t="str">
        <f t="shared" si="78"/>
        <v>Mar-2026</v>
      </c>
      <c r="T579" t="str">
        <f t="shared" si="79"/>
        <v>OK</v>
      </c>
    </row>
    <row r="580" spans="1:20">
      <c r="A580" t="str">
        <f>TRIM(Raw_Data!A580)</f>
        <v>ORD-10579</v>
      </c>
      <c r="B580" s="12">
        <f>IFERROR(IF(ISNUMBER(Raw_Data!B580),Raw_Data!B580,DATEVALUE(Raw_Data!B580)),"")</f>
        <v>46122</v>
      </c>
      <c r="C580" t="str">
        <f>PROPER(TRIM(Raw_Data!C580))</f>
        <v>Ravi</v>
      </c>
      <c r="D580" t="str">
        <f>IF(TRIM(Raw_Data!D580)="Bangalore","Bengaluru",IF(TRIM(Raw_Data!D580)="Mysore","Mysuru",IF(TRIM(Raw_Data!D580)="Cochin","Kochi",PROPER(TRIM(Raw_Data!D580)))))</f>
        <v>Mumbai</v>
      </c>
      <c r="E580" t="str">
        <f>PROPER(TRIM(Raw_Data!E580))</f>
        <v>Corporate</v>
      </c>
      <c r="F580" t="str">
        <f>PROPER(TRIM(Raw_Data!F580))</f>
        <v>Smb</v>
      </c>
      <c r="G580" t="str">
        <f>PROPER(TRIM(Raw_Data!G580))</f>
        <v>Monitor</v>
      </c>
      <c r="H580" t="str">
        <f>PROPER(TRIM(Raw_Data!H580))</f>
        <v>Monitor 32</v>
      </c>
      <c r="I580">
        <f>IFERROR(MAX(0,VALUE(Raw_Data!I580)),0)</f>
        <v>5</v>
      </c>
      <c r="J580" s="13">
        <f>IFERROR(VALUE(Raw_Data!J580),0)</f>
        <v>13463</v>
      </c>
      <c r="K580" s="14">
        <f>IFERROR(VALUE(Raw_Data!K580),0)</f>
        <v>0.05</v>
      </c>
      <c r="L580" t="str">
        <f>PROPER(TRIM(Raw_Data!L580))</f>
        <v>Delivered</v>
      </c>
      <c r="M580" s="13">
        <f t="shared" si="72"/>
        <v>67315</v>
      </c>
      <c r="N580" s="13">
        <f t="shared" si="73"/>
        <v>3365.75</v>
      </c>
      <c r="O580" s="13">
        <f t="shared" si="74"/>
        <v>63949.25</v>
      </c>
      <c r="P580" s="13">
        <f t="shared" si="75"/>
        <v>47120.5</v>
      </c>
      <c r="Q580" s="13">
        <f t="shared" si="76"/>
        <v>16828.75</v>
      </c>
      <c r="R580" s="10">
        <f t="shared" si="77"/>
        <v>0.263157894736842</v>
      </c>
      <c r="S580" t="str">
        <f t="shared" si="78"/>
        <v>Apr-2026</v>
      </c>
      <c r="T580" t="str">
        <f t="shared" si="79"/>
        <v>OK</v>
      </c>
    </row>
    <row r="581" spans="1:20">
      <c r="A581" t="str">
        <f>TRIM(Raw_Data!A581)</f>
        <v>ORD-10580</v>
      </c>
      <c r="B581" s="12">
        <f>IFERROR(IF(ISNUMBER(Raw_Data!B581),Raw_Data!B581,DATEVALUE(Raw_Data!B581)),"")</f>
        <v>46205</v>
      </c>
      <c r="C581" t="str">
        <f>PROPER(TRIM(Raw_Data!C581))</f>
        <v>Meghana</v>
      </c>
      <c r="D581" t="str">
        <f>IF(TRIM(Raw_Data!D581)="Bangalore","Bengaluru",IF(TRIM(Raw_Data!D581)="Mysore","Mysuru",IF(TRIM(Raw_Data!D581)="Cochin","Kochi",PROPER(TRIM(Raw_Data!D581)))))</f>
        <v>Pune</v>
      </c>
      <c r="E581" t="str">
        <f>PROPER(TRIM(Raw_Data!E581))</f>
        <v>Online</v>
      </c>
      <c r="F581" t="str">
        <f>PROPER(TRIM(Raw_Data!F581))</f>
        <v>Enterprise</v>
      </c>
      <c r="G581" t="str">
        <f>PROPER(TRIM(Raw_Data!G581))</f>
        <v>Laptop</v>
      </c>
      <c r="H581" t="str">
        <f>PROPER(TRIM(Raw_Data!H581))</f>
        <v>Laptop Pro 14</v>
      </c>
      <c r="I581">
        <f>IFERROR(MAX(0,VALUE(Raw_Data!I581)),0)</f>
        <v>5</v>
      </c>
      <c r="J581" s="13">
        <f>IFERROR(VALUE(Raw_Data!J581),0)</f>
        <v>48051</v>
      </c>
      <c r="K581" s="14">
        <f>IFERROR(VALUE(Raw_Data!K581),0)</f>
        <v>0</v>
      </c>
      <c r="L581" t="str">
        <f>PROPER(TRIM(Raw_Data!L581))</f>
        <v>Cancelled</v>
      </c>
      <c r="M581" s="13">
        <f t="shared" si="72"/>
        <v>240255</v>
      </c>
      <c r="N581" s="13">
        <f t="shared" si="73"/>
        <v>0</v>
      </c>
      <c r="O581" s="13">
        <f t="shared" si="74"/>
        <v>240255</v>
      </c>
      <c r="P581" s="13">
        <f t="shared" si="75"/>
        <v>187398.9</v>
      </c>
      <c r="Q581" s="13">
        <f t="shared" si="76"/>
        <v>52856.1</v>
      </c>
      <c r="R581" s="10">
        <f t="shared" si="77"/>
        <v>0.22</v>
      </c>
      <c r="S581" t="str">
        <f t="shared" si="78"/>
        <v>Jul-2026</v>
      </c>
      <c r="T581" t="str">
        <f t="shared" si="79"/>
        <v>OK</v>
      </c>
    </row>
    <row r="582" spans="1:20">
      <c r="A582" t="str">
        <f>TRIM(Raw_Data!A582)</f>
        <v>ORD-10581</v>
      </c>
      <c r="B582" s="12">
        <f>IFERROR(IF(ISNUMBER(Raw_Data!B582),Raw_Data!B582,DATEVALUE(Raw_Data!B582)),"")</f>
        <v>46093</v>
      </c>
      <c r="C582" t="str">
        <f>PROPER(TRIM(Raw_Data!C582))</f>
        <v>Kiran</v>
      </c>
      <c r="D582" t="str">
        <f>IF(TRIM(Raw_Data!D582)="Bangalore","Bengaluru",IF(TRIM(Raw_Data!D582)="Mysore","Mysuru",IF(TRIM(Raw_Data!D582)="Cochin","Kochi",PROPER(TRIM(Raw_Data!D582)))))</f>
        <v>Pune</v>
      </c>
      <c r="E582" t="str">
        <f>PROPER(TRIM(Raw_Data!E582))</f>
        <v>Retail Store</v>
      </c>
      <c r="F582" t="str">
        <f>PROPER(TRIM(Raw_Data!F582))</f>
        <v>Smb</v>
      </c>
      <c r="G582" t="str">
        <f>PROPER(TRIM(Raw_Data!G582))</f>
        <v>Mouse</v>
      </c>
      <c r="H582" t="str">
        <f>PROPER(TRIM(Raw_Data!H582))</f>
        <v>Mouse Basic</v>
      </c>
      <c r="I582">
        <f>IFERROR(MAX(0,VALUE(Raw_Data!I582)),0)</f>
        <v>4</v>
      </c>
      <c r="J582" s="13">
        <f>IFERROR(VALUE(Raw_Data!J582),0)</f>
        <v>2146</v>
      </c>
      <c r="K582" s="14">
        <f>IFERROR(VALUE(Raw_Data!K582),0)</f>
        <v>0.08</v>
      </c>
      <c r="L582" t="str">
        <f>PROPER(TRIM(Raw_Data!L582))</f>
        <v>Pending</v>
      </c>
      <c r="M582" s="13">
        <f t="shared" si="72"/>
        <v>8584</v>
      </c>
      <c r="N582" s="13">
        <f t="shared" si="73"/>
        <v>686.72</v>
      </c>
      <c r="O582" s="13">
        <f t="shared" si="74"/>
        <v>7897.28</v>
      </c>
      <c r="P582" s="13">
        <f t="shared" si="75"/>
        <v>4721.2</v>
      </c>
      <c r="Q582" s="13">
        <f t="shared" si="76"/>
        <v>3176.08</v>
      </c>
      <c r="R582" s="10">
        <f t="shared" si="77"/>
        <v>0.402173913043478</v>
      </c>
      <c r="S582" t="str">
        <f t="shared" si="78"/>
        <v>Mar-2026</v>
      </c>
      <c r="T582" t="str">
        <f t="shared" si="79"/>
        <v>OK</v>
      </c>
    </row>
    <row r="583" spans="1:20">
      <c r="A583" t="str">
        <f>TRIM(Raw_Data!A583)</f>
        <v>ORD-10582</v>
      </c>
      <c r="B583" s="12">
        <f>IFERROR(IF(ISNUMBER(Raw_Data!B583),Raw_Data!B583,DATEVALUE(Raw_Data!B583)),"")</f>
        <v>46218</v>
      </c>
      <c r="C583" t="str">
        <f>PROPER(TRIM(Raw_Data!C583))</f>
        <v>Neha</v>
      </c>
      <c r="D583" t="str">
        <f>IF(TRIM(Raw_Data!D583)="Bangalore","Bengaluru",IF(TRIM(Raw_Data!D583)="Mysore","Mysuru",IF(TRIM(Raw_Data!D583)="Cochin","Kochi",PROPER(TRIM(Raw_Data!D583)))))</f>
        <v>Mysuru</v>
      </c>
      <c r="E583" t="str">
        <f>PROPER(TRIM(Raw_Data!E583))</f>
        <v>Online</v>
      </c>
      <c r="F583" t="str">
        <f>PROPER(TRIM(Raw_Data!F583))</f>
        <v>Consumer</v>
      </c>
      <c r="G583" t="str">
        <f>PROPER(TRIM(Raw_Data!G583))</f>
        <v>Headset</v>
      </c>
      <c r="H583" t="str">
        <f>PROPER(TRIM(Raw_Data!H583))</f>
        <v>Headset Pro</v>
      </c>
      <c r="I583">
        <f>IFERROR(MAX(0,VALUE(Raw_Data!I583)),0)</f>
        <v>5</v>
      </c>
      <c r="J583" s="13">
        <f>IFERROR(VALUE(Raw_Data!J583),0)</f>
        <v>3145</v>
      </c>
      <c r="K583" s="14">
        <f>IFERROR(VALUE(Raw_Data!K583),0)</f>
        <v>0.08</v>
      </c>
      <c r="L583" t="str">
        <f>PROPER(TRIM(Raw_Data!L583))</f>
        <v>Pending</v>
      </c>
      <c r="M583" s="13">
        <f t="shared" si="72"/>
        <v>15725</v>
      </c>
      <c r="N583" s="13">
        <f t="shared" si="73"/>
        <v>1258</v>
      </c>
      <c r="O583" s="13">
        <f t="shared" si="74"/>
        <v>14467</v>
      </c>
      <c r="P583" s="13">
        <f t="shared" si="75"/>
        <v>9435</v>
      </c>
      <c r="Q583" s="13">
        <f t="shared" si="76"/>
        <v>5032</v>
      </c>
      <c r="R583" s="10">
        <f t="shared" si="77"/>
        <v>0.347826086956522</v>
      </c>
      <c r="S583" t="str">
        <f t="shared" si="78"/>
        <v>Jul-2026</v>
      </c>
      <c r="T583" t="str">
        <f t="shared" si="79"/>
        <v>OK</v>
      </c>
    </row>
    <row r="584" spans="1:20">
      <c r="A584" t="str">
        <f>TRIM(Raw_Data!A584)</f>
        <v>ORD-10583</v>
      </c>
      <c r="B584" s="12" t="str">
        <f>IFERROR(IF(ISNUMBER(Raw_Data!B584),Raw_Data!B584,DATEVALUE(Raw_Data!B584)),"")</f>
        <v/>
      </c>
      <c r="C584" t="str">
        <f>PROPER(TRIM(Raw_Data!C584))</f>
        <v>Priya</v>
      </c>
      <c r="D584" t="str">
        <f>IF(TRIM(Raw_Data!D584)="Bangalore","Bengaluru",IF(TRIM(Raw_Data!D584)="Mysore","Mysuru",IF(TRIM(Raw_Data!D584)="Cochin","Kochi",PROPER(TRIM(Raw_Data!D584)))))</f>
        <v>Mumbai</v>
      </c>
      <c r="E584" t="str">
        <f>PROPER(TRIM(Raw_Data!E584))</f>
        <v>Online</v>
      </c>
      <c r="F584" t="str">
        <f>PROPER(TRIM(Raw_Data!F584))</f>
        <v>Smb</v>
      </c>
      <c r="G584" t="str">
        <f>PROPER(TRIM(Raw_Data!G584))</f>
        <v>Keyboard</v>
      </c>
      <c r="H584" t="str">
        <f>PROPER(TRIM(Raw_Data!H584))</f>
        <v>Keyboard Office</v>
      </c>
      <c r="I584">
        <f>IFERROR(MAX(0,VALUE(Raw_Data!I584)),0)</f>
        <v>4</v>
      </c>
      <c r="J584" s="13">
        <f>IFERROR(VALUE(Raw_Data!J584),0)</f>
        <v>1715</v>
      </c>
      <c r="K584" s="14">
        <f>IFERROR(VALUE(Raw_Data!K584),0)</f>
        <v>0.05</v>
      </c>
      <c r="L584" t="str">
        <f>PROPER(TRIM(Raw_Data!L584))</f>
        <v>Delivered</v>
      </c>
      <c r="M584" s="13">
        <f t="shared" si="72"/>
        <v>6860</v>
      </c>
      <c r="N584" s="13">
        <f t="shared" si="73"/>
        <v>343</v>
      </c>
      <c r="O584" s="13">
        <f t="shared" si="74"/>
        <v>6517</v>
      </c>
      <c r="P584" s="13">
        <f t="shared" si="75"/>
        <v>3978.8</v>
      </c>
      <c r="Q584" s="13">
        <f t="shared" si="76"/>
        <v>2538.2</v>
      </c>
      <c r="R584" s="10">
        <f t="shared" si="77"/>
        <v>0.389473684210526</v>
      </c>
      <c r="S584" t="str">
        <f t="shared" si="78"/>
        <v/>
      </c>
      <c r="T584" t="str">
        <f t="shared" si="79"/>
        <v>CHECK</v>
      </c>
    </row>
    <row r="585" spans="1:20">
      <c r="A585" t="str">
        <f>TRIM(Raw_Data!A585)</f>
        <v>ORD-10584</v>
      </c>
      <c r="B585" s="12">
        <f>IFERROR(IF(ISNUMBER(Raw_Data!B585),Raw_Data!B585,DATEVALUE(Raw_Data!B585)),"")</f>
        <v>46228</v>
      </c>
      <c r="C585" t="str">
        <f>PROPER(TRIM(Raw_Data!C585))</f>
        <v>Arjun</v>
      </c>
      <c r="D585" t="str">
        <f>IF(TRIM(Raw_Data!D585)="Bangalore","Bengaluru",IF(TRIM(Raw_Data!D585)="Mysore","Mysuru",IF(TRIM(Raw_Data!D585)="Cochin","Kochi",PROPER(TRIM(Raw_Data!D585)))))</f>
        <v>Pune</v>
      </c>
      <c r="E585" t="str">
        <f>PROPER(TRIM(Raw_Data!E585))</f>
        <v>Retail Store</v>
      </c>
      <c r="F585" t="str">
        <f>PROPER(TRIM(Raw_Data!F585))</f>
        <v>Consumer</v>
      </c>
      <c r="G585" t="str">
        <f>PROPER(TRIM(Raw_Data!G585))</f>
        <v>Keyboard</v>
      </c>
      <c r="H585" t="str">
        <f>PROPER(TRIM(Raw_Data!H585))</f>
        <v>Keyboard Office</v>
      </c>
      <c r="I585">
        <f>IFERROR(MAX(0,VALUE(Raw_Data!I585)),0)</f>
        <v>8</v>
      </c>
      <c r="J585" s="13">
        <f>IFERROR(VALUE(Raw_Data!J585),0)</f>
        <v>4123</v>
      </c>
      <c r="K585" s="14">
        <f>IFERROR(VALUE(Raw_Data!K585),0)</f>
        <v>0.1</v>
      </c>
      <c r="L585" t="str">
        <f>PROPER(TRIM(Raw_Data!L585))</f>
        <v>Delivered</v>
      </c>
      <c r="M585" s="13">
        <f t="shared" si="72"/>
        <v>32984</v>
      </c>
      <c r="N585" s="13">
        <f t="shared" si="73"/>
        <v>3298.4</v>
      </c>
      <c r="O585" s="13">
        <f t="shared" si="74"/>
        <v>29685.6</v>
      </c>
      <c r="P585" s="13">
        <f t="shared" si="75"/>
        <v>19130.72</v>
      </c>
      <c r="Q585" s="13">
        <f t="shared" si="76"/>
        <v>10554.88</v>
      </c>
      <c r="R585" s="10">
        <f t="shared" si="77"/>
        <v>0.355555555555556</v>
      </c>
      <c r="S585" t="str">
        <f t="shared" si="78"/>
        <v>Jul-2026</v>
      </c>
      <c r="T585" t="str">
        <f t="shared" si="79"/>
        <v>OK</v>
      </c>
    </row>
    <row r="586" spans="1:20">
      <c r="A586" t="str">
        <f>TRIM(Raw_Data!A586)</f>
        <v>ORD-10585</v>
      </c>
      <c r="B586" s="12">
        <f>IFERROR(IF(ISNUMBER(Raw_Data!B586),Raw_Data!B586,DATEVALUE(Raw_Data!B586)),"")</f>
        <v>46075</v>
      </c>
      <c r="C586" t="str">
        <f>PROPER(TRIM(Raw_Data!C586))</f>
        <v>Bhoomika</v>
      </c>
      <c r="D586" t="str">
        <f>IF(TRIM(Raw_Data!D586)="Bangalore","Bengaluru",IF(TRIM(Raw_Data!D586)="Mysore","Mysuru",IF(TRIM(Raw_Data!D586)="Cochin","Kochi",PROPER(TRIM(Raw_Data!D586)))))</f>
        <v>Chennai</v>
      </c>
      <c r="E586" t="str">
        <f>PROPER(TRIM(Raw_Data!E586))</f>
        <v>Online</v>
      </c>
      <c r="F586" t="str">
        <f>PROPER(TRIM(Raw_Data!F586))</f>
        <v>Consumer</v>
      </c>
      <c r="G586" t="str">
        <f>PROPER(TRIM(Raw_Data!G586))</f>
        <v>Mouse</v>
      </c>
      <c r="H586" t="str">
        <f>PROPER(TRIM(Raw_Data!H586))</f>
        <v>Mouse Ergonomic</v>
      </c>
      <c r="I586">
        <f>IFERROR(MAX(0,VALUE(Raw_Data!I586)),0)</f>
        <v>4</v>
      </c>
      <c r="J586" s="13">
        <f>IFERROR(VALUE(Raw_Data!J586),0)</f>
        <v>1255</v>
      </c>
      <c r="K586" s="14">
        <f>IFERROR(VALUE(Raw_Data!K586),0)</f>
        <v>0.02</v>
      </c>
      <c r="L586" t="str">
        <f>PROPER(TRIM(Raw_Data!L586))</f>
        <v>Delivered</v>
      </c>
      <c r="M586" s="13">
        <f t="shared" si="72"/>
        <v>5020</v>
      </c>
      <c r="N586" s="13">
        <f t="shared" si="73"/>
        <v>100.4</v>
      </c>
      <c r="O586" s="13">
        <f t="shared" si="74"/>
        <v>4919.6</v>
      </c>
      <c r="P586" s="13">
        <f t="shared" si="75"/>
        <v>2761</v>
      </c>
      <c r="Q586" s="13">
        <f t="shared" si="76"/>
        <v>2158.6</v>
      </c>
      <c r="R586" s="10">
        <f t="shared" si="77"/>
        <v>0.438775510204082</v>
      </c>
      <c r="S586" t="str">
        <f t="shared" si="78"/>
        <v>Feb-2026</v>
      </c>
      <c r="T586" t="str">
        <f t="shared" si="79"/>
        <v>OK</v>
      </c>
    </row>
    <row r="587" spans="1:20">
      <c r="A587" t="str">
        <f>TRIM(Raw_Data!A587)</f>
        <v>ORD-10586</v>
      </c>
      <c r="B587" s="12">
        <f>IFERROR(IF(ISNUMBER(Raw_Data!B587),Raw_Data!B587,DATEVALUE(Raw_Data!B587)),"")</f>
        <v>46214</v>
      </c>
      <c r="C587" t="str">
        <f>PROPER(TRIM(Raw_Data!C587))</f>
        <v>Arjun</v>
      </c>
      <c r="D587" t="str">
        <f>IF(TRIM(Raw_Data!D587)="Bangalore","Bengaluru",IF(TRIM(Raw_Data!D587)="Mysore","Mysuru",IF(TRIM(Raw_Data!D587)="Cochin","Kochi",PROPER(TRIM(Raw_Data!D587)))))</f>
        <v>Mysuru</v>
      </c>
      <c r="E587" t="str">
        <f>PROPER(TRIM(Raw_Data!E587))</f>
        <v>Online</v>
      </c>
      <c r="F587" t="str">
        <f>PROPER(TRIM(Raw_Data!F587))</f>
        <v>Enterprise</v>
      </c>
      <c r="G587" t="str">
        <f>PROPER(TRIM(Raw_Data!G587))</f>
        <v>Monitor</v>
      </c>
      <c r="H587" t="str">
        <f>PROPER(TRIM(Raw_Data!H587))</f>
        <v>Monitor 24</v>
      </c>
      <c r="I587">
        <f>IFERROR(MAX(0,VALUE(Raw_Data!I587)),0)</f>
        <v>1</v>
      </c>
      <c r="J587" s="13">
        <f>IFERROR(VALUE(Raw_Data!J587),0)</f>
        <v>26729</v>
      </c>
      <c r="K587" s="14">
        <f>IFERROR(VALUE(Raw_Data!K587),0)</f>
        <v>0.08</v>
      </c>
      <c r="L587" t="str">
        <f>PROPER(TRIM(Raw_Data!L587))</f>
        <v>Delivered</v>
      </c>
      <c r="M587" s="13">
        <f t="shared" si="72"/>
        <v>26729</v>
      </c>
      <c r="N587" s="13">
        <f t="shared" si="73"/>
        <v>2138.32</v>
      </c>
      <c r="O587" s="13">
        <f t="shared" si="74"/>
        <v>24590.68</v>
      </c>
      <c r="P587" s="13">
        <f t="shared" si="75"/>
        <v>18710.3</v>
      </c>
      <c r="Q587" s="13">
        <f t="shared" si="76"/>
        <v>5880.38</v>
      </c>
      <c r="R587" s="10">
        <f t="shared" si="77"/>
        <v>0.239130434782609</v>
      </c>
      <c r="S587" t="str">
        <f t="shared" si="78"/>
        <v>Jul-2026</v>
      </c>
      <c r="T587" t="str">
        <f t="shared" si="79"/>
        <v>OK</v>
      </c>
    </row>
    <row r="588" spans="1:20">
      <c r="A588" t="str">
        <f>TRIM(Raw_Data!A588)</f>
        <v>ORD-10587</v>
      </c>
      <c r="B588" s="12">
        <f>IFERROR(IF(ISNUMBER(Raw_Data!B588),Raw_Data!B588,DATEVALUE(Raw_Data!B588)),"")</f>
        <v>46193</v>
      </c>
      <c r="C588" t="str">
        <f>PROPER(TRIM(Raw_Data!C588))</f>
        <v>Asha</v>
      </c>
      <c r="D588" t="str">
        <f>IF(TRIM(Raw_Data!D588)="Bangalore","Bengaluru",IF(TRIM(Raw_Data!D588)="Mysore","Mysuru",IF(TRIM(Raw_Data!D588)="Cochin","Kochi",PROPER(TRIM(Raw_Data!D588)))))</f>
        <v>Hyderabad</v>
      </c>
      <c r="E588" t="str">
        <f>PROPER(TRIM(Raw_Data!E588))</f>
        <v>Online</v>
      </c>
      <c r="F588" t="str">
        <f>PROPER(TRIM(Raw_Data!F588))</f>
        <v>Consumer</v>
      </c>
      <c r="G588" t="str">
        <f>PROPER(TRIM(Raw_Data!G588))</f>
        <v>Keyboard</v>
      </c>
      <c r="H588" t="str">
        <f>PROPER(TRIM(Raw_Data!H588))</f>
        <v>Keyboard Wireless</v>
      </c>
      <c r="I588">
        <f>IFERROR(MAX(0,VALUE(Raw_Data!I588)),0)</f>
        <v>4</v>
      </c>
      <c r="J588" s="13">
        <f>IFERROR(VALUE(Raw_Data!J588),0)</f>
        <v>1570</v>
      </c>
      <c r="K588" s="14">
        <f>IFERROR(VALUE(Raw_Data!K588),0)</f>
        <v>0.02</v>
      </c>
      <c r="L588" t="str">
        <f>PROPER(TRIM(Raw_Data!L588))</f>
        <v>Delivered</v>
      </c>
      <c r="M588" s="13">
        <f t="shared" si="72"/>
        <v>6280</v>
      </c>
      <c r="N588" s="13">
        <f t="shared" si="73"/>
        <v>125.6</v>
      </c>
      <c r="O588" s="13">
        <f t="shared" si="74"/>
        <v>6154.4</v>
      </c>
      <c r="P588" s="13">
        <f t="shared" si="75"/>
        <v>3642.4</v>
      </c>
      <c r="Q588" s="13">
        <f t="shared" si="76"/>
        <v>2512</v>
      </c>
      <c r="R588" s="10">
        <f t="shared" si="77"/>
        <v>0.408163265306122</v>
      </c>
      <c r="S588" t="str">
        <f t="shared" si="78"/>
        <v>Jun-2026</v>
      </c>
      <c r="T588" t="str">
        <f t="shared" si="79"/>
        <v>OK</v>
      </c>
    </row>
    <row r="589" spans="1:20">
      <c r="A589" t="str">
        <f>TRIM(Raw_Data!A589)</f>
        <v>ORD-10588</v>
      </c>
      <c r="B589" s="12">
        <f>IFERROR(IF(ISNUMBER(Raw_Data!B589),Raw_Data!B589,DATEVALUE(Raw_Data!B589)),"")</f>
        <v>46063</v>
      </c>
      <c r="C589" t="str">
        <f>PROPER(TRIM(Raw_Data!C589))</f>
        <v>Meghana</v>
      </c>
      <c r="D589" t="str">
        <f>IF(TRIM(Raw_Data!D589)="Bangalore","Bengaluru",IF(TRIM(Raw_Data!D589)="Mysore","Mysuru",IF(TRIM(Raw_Data!D589)="Cochin","Kochi",PROPER(TRIM(Raw_Data!D589)))))</f>
        <v>Bengaluru</v>
      </c>
      <c r="E589" t="str">
        <f>PROPER(TRIM(Raw_Data!E589))</f>
        <v>Retail Store</v>
      </c>
      <c r="F589" t="str">
        <f>PROPER(TRIM(Raw_Data!F589))</f>
        <v>Smb</v>
      </c>
      <c r="G589" t="str">
        <f>PROPER(TRIM(Raw_Data!G589))</f>
        <v>Mouse</v>
      </c>
      <c r="H589" t="str">
        <f>PROPER(TRIM(Raw_Data!H589))</f>
        <v>Mouse Ergonomic</v>
      </c>
      <c r="I589">
        <f>IFERROR(MAX(0,VALUE(Raw_Data!I589)),0)</f>
        <v>7</v>
      </c>
      <c r="J589" s="13">
        <f>IFERROR(VALUE(Raw_Data!J589),0)</f>
        <v>2883</v>
      </c>
      <c r="K589" s="14">
        <f>IFERROR(VALUE(Raw_Data!K589),0)</f>
        <v>0</v>
      </c>
      <c r="L589" t="str">
        <f>PROPER(TRIM(Raw_Data!L589))</f>
        <v>Delivered</v>
      </c>
      <c r="M589" s="13">
        <f t="shared" si="72"/>
        <v>20181</v>
      </c>
      <c r="N589" s="13">
        <f t="shared" si="73"/>
        <v>0</v>
      </c>
      <c r="O589" s="13">
        <f t="shared" si="74"/>
        <v>20181</v>
      </c>
      <c r="P589" s="13">
        <f t="shared" si="75"/>
        <v>11099.55</v>
      </c>
      <c r="Q589" s="13">
        <f t="shared" si="76"/>
        <v>9081.45</v>
      </c>
      <c r="R589" s="10">
        <f t="shared" si="77"/>
        <v>0.45</v>
      </c>
      <c r="S589" t="str">
        <f t="shared" si="78"/>
        <v>Feb-2026</v>
      </c>
      <c r="T589" t="str">
        <f t="shared" si="79"/>
        <v>OK</v>
      </c>
    </row>
    <row r="590" spans="1:20">
      <c r="A590" t="str">
        <f>TRIM(Raw_Data!A590)</f>
        <v>ORD-10589</v>
      </c>
      <c r="B590" s="12">
        <f>IFERROR(IF(ISNUMBER(Raw_Data!B590),Raw_Data!B590,DATEVALUE(Raw_Data!B590)),"")</f>
        <v>46107</v>
      </c>
      <c r="C590" t="str">
        <f>PROPER(TRIM(Raw_Data!C590))</f>
        <v>Asha</v>
      </c>
      <c r="D590" t="str">
        <f>IF(TRIM(Raw_Data!D590)="Bangalore","Bengaluru",IF(TRIM(Raw_Data!D590)="Mysore","Mysuru",IF(TRIM(Raw_Data!D590)="Cochin","Kochi",PROPER(TRIM(Raw_Data!D590)))))</f>
        <v>Pune</v>
      </c>
      <c r="E590" t="str">
        <f>PROPER(TRIM(Raw_Data!E590))</f>
        <v>Corporate</v>
      </c>
      <c r="F590" t="str">
        <f>PROPER(TRIM(Raw_Data!F590))</f>
        <v>Smb</v>
      </c>
      <c r="G590" t="str">
        <f>PROPER(TRIM(Raw_Data!G590))</f>
        <v>Mouse</v>
      </c>
      <c r="H590" t="str">
        <f>PROPER(TRIM(Raw_Data!H590))</f>
        <v>Mouse Wireless</v>
      </c>
      <c r="I590">
        <f>IFERROR(MAX(0,VALUE(Raw_Data!I590)),0)</f>
        <v>5</v>
      </c>
      <c r="J590" s="13">
        <f>IFERROR(VALUE(Raw_Data!J590),0)</f>
        <v>3202</v>
      </c>
      <c r="K590" s="14">
        <f>IFERROR(VALUE(Raw_Data!K590),0)</f>
        <v>0.05</v>
      </c>
      <c r="L590" t="str">
        <f>PROPER(TRIM(Raw_Data!L590))</f>
        <v>Delivered</v>
      </c>
      <c r="M590" s="13">
        <f t="shared" si="72"/>
        <v>16010</v>
      </c>
      <c r="N590" s="13">
        <f t="shared" si="73"/>
        <v>800.5</v>
      </c>
      <c r="O590" s="13">
        <f t="shared" si="74"/>
        <v>15209.5</v>
      </c>
      <c r="P590" s="13">
        <f t="shared" si="75"/>
        <v>8805.5</v>
      </c>
      <c r="Q590" s="13">
        <f t="shared" si="76"/>
        <v>6404</v>
      </c>
      <c r="R590" s="10">
        <f t="shared" si="77"/>
        <v>0.421052631578947</v>
      </c>
      <c r="S590" t="str">
        <f t="shared" si="78"/>
        <v>Mar-2026</v>
      </c>
      <c r="T590" t="str">
        <f t="shared" si="79"/>
        <v>OK</v>
      </c>
    </row>
    <row r="591" spans="1:20">
      <c r="A591" t="str">
        <f>TRIM(Raw_Data!A591)</f>
        <v>ORD-10590</v>
      </c>
      <c r="B591" s="12">
        <f>IFERROR(IF(ISNUMBER(Raw_Data!B591),Raw_Data!B591,DATEVALUE(Raw_Data!B591)),"")</f>
        <v>46124</v>
      </c>
      <c r="C591" t="str">
        <f>PROPER(TRIM(Raw_Data!C591))</f>
        <v>Ravi</v>
      </c>
      <c r="D591" t="str">
        <f>IF(TRIM(Raw_Data!D591)="Bangalore","Bengaluru",IF(TRIM(Raw_Data!D591)="Mysore","Mysuru",IF(TRIM(Raw_Data!D591)="Cochin","Kochi",PROPER(TRIM(Raw_Data!D591)))))</f>
        <v>Hyderabad</v>
      </c>
      <c r="E591" t="str">
        <f>PROPER(TRIM(Raw_Data!E591))</f>
        <v>Retail Store</v>
      </c>
      <c r="F591" t="str">
        <f>PROPER(TRIM(Raw_Data!F591))</f>
        <v>Smb</v>
      </c>
      <c r="G591" t="str">
        <f>PROPER(TRIM(Raw_Data!G591))</f>
        <v>Headset</v>
      </c>
      <c r="H591" t="str">
        <f>PROPER(TRIM(Raw_Data!H591))</f>
        <v>Headset Office</v>
      </c>
      <c r="I591">
        <f>IFERROR(MAX(0,VALUE(Raw_Data!I591)),0)</f>
        <v>3</v>
      </c>
      <c r="J591" s="13">
        <f>IFERROR(VALUE(Raw_Data!J591),0)</f>
        <v>3398</v>
      </c>
      <c r="K591" s="14">
        <f>IFERROR(VALUE(Raw_Data!K591),0)</f>
        <v>0.02</v>
      </c>
      <c r="L591" t="str">
        <f>PROPER(TRIM(Raw_Data!L591))</f>
        <v>Delivered</v>
      </c>
      <c r="M591" s="13">
        <f t="shared" si="72"/>
        <v>10194</v>
      </c>
      <c r="N591" s="13">
        <f t="shared" si="73"/>
        <v>203.88</v>
      </c>
      <c r="O591" s="13">
        <f t="shared" si="74"/>
        <v>9990.12</v>
      </c>
      <c r="P591" s="13">
        <f t="shared" si="75"/>
        <v>6116.4</v>
      </c>
      <c r="Q591" s="13">
        <f t="shared" si="76"/>
        <v>3873.72</v>
      </c>
      <c r="R591" s="10">
        <f t="shared" si="77"/>
        <v>0.387755102040816</v>
      </c>
      <c r="S591" t="str">
        <f t="shared" si="78"/>
        <v>Apr-2026</v>
      </c>
      <c r="T591" t="str">
        <f t="shared" si="79"/>
        <v>OK</v>
      </c>
    </row>
    <row r="592" spans="1:20">
      <c r="A592" t="str">
        <f>TRIM(Raw_Data!A592)</f>
        <v>ORD-10591</v>
      </c>
      <c r="B592" s="12">
        <f>IFERROR(IF(ISNUMBER(Raw_Data!B592),Raw_Data!B592,DATEVALUE(Raw_Data!B592)),"")</f>
        <v>46201</v>
      </c>
      <c r="C592" t="str">
        <f>PROPER(TRIM(Raw_Data!C592))</f>
        <v>Bhoomika</v>
      </c>
      <c r="D592" t="str">
        <f>IF(TRIM(Raw_Data!D592)="Bangalore","Bengaluru",IF(TRIM(Raw_Data!D592)="Mysore","Mysuru",IF(TRIM(Raw_Data!D592)="Cochin","Kochi",PROPER(TRIM(Raw_Data!D592)))))</f>
        <v>Hyderabad</v>
      </c>
      <c r="E592" t="str">
        <f>PROPER(TRIM(Raw_Data!E592))</f>
        <v>Online</v>
      </c>
      <c r="F592" t="str">
        <f>PROPER(TRIM(Raw_Data!F592))</f>
        <v>Smb</v>
      </c>
      <c r="G592" t="str">
        <f>PROPER(TRIM(Raw_Data!G592))</f>
        <v>Laptop</v>
      </c>
      <c r="H592" t="str">
        <f>PROPER(TRIM(Raw_Data!H592))</f>
        <v>Business Laptop 15</v>
      </c>
      <c r="I592">
        <f>IFERROR(MAX(0,VALUE(Raw_Data!I592)),0)</f>
        <v>2</v>
      </c>
      <c r="J592" s="13">
        <f>IFERROR(VALUE(Raw_Data!J592),0)</f>
        <v>73989</v>
      </c>
      <c r="K592" s="14">
        <f>IFERROR(VALUE(Raw_Data!K592),0)</f>
        <v>0.15</v>
      </c>
      <c r="L592" t="str">
        <f>PROPER(TRIM(Raw_Data!L592))</f>
        <v>Delivered</v>
      </c>
      <c r="M592" s="13">
        <f t="shared" si="72"/>
        <v>147978</v>
      </c>
      <c r="N592" s="13">
        <f t="shared" si="73"/>
        <v>22196.7</v>
      </c>
      <c r="O592" s="13">
        <f t="shared" si="74"/>
        <v>125781.3</v>
      </c>
      <c r="P592" s="13">
        <f t="shared" si="75"/>
        <v>115422.84</v>
      </c>
      <c r="Q592" s="13">
        <f t="shared" si="76"/>
        <v>10358.46</v>
      </c>
      <c r="R592" s="10">
        <f t="shared" si="77"/>
        <v>0.0823529411764705</v>
      </c>
      <c r="S592" t="str">
        <f t="shared" si="78"/>
        <v>Jun-2026</v>
      </c>
      <c r="T592" t="str">
        <f t="shared" si="79"/>
        <v>OK</v>
      </c>
    </row>
    <row r="593" spans="1:20">
      <c r="A593" t="str">
        <f>TRIM(Raw_Data!A593)</f>
        <v>ORD-10592</v>
      </c>
      <c r="B593" s="12">
        <f>IFERROR(IF(ISNUMBER(Raw_Data!B593),Raw_Data!B593,DATEVALUE(Raw_Data!B593)),"")</f>
        <v>46199</v>
      </c>
      <c r="C593" t="str">
        <f>PROPER(TRIM(Raw_Data!C593))</f>
        <v>Arjun</v>
      </c>
      <c r="D593" t="str">
        <f>IF(TRIM(Raw_Data!D593)="Bangalore","Bengaluru",IF(TRIM(Raw_Data!D593)="Mysore","Mysuru",IF(TRIM(Raw_Data!D593)="Cochin","Kochi",PROPER(TRIM(Raw_Data!D593)))))</f>
        <v>Chennai</v>
      </c>
      <c r="E593" t="str">
        <f>PROPER(TRIM(Raw_Data!E593))</f>
        <v>Corporate</v>
      </c>
      <c r="F593" t="str">
        <f>PROPER(TRIM(Raw_Data!F593))</f>
        <v>Enterprise</v>
      </c>
      <c r="G593" t="str">
        <f>PROPER(TRIM(Raw_Data!G593))</f>
        <v>Monitor</v>
      </c>
      <c r="H593" t="str">
        <f>PROPER(TRIM(Raw_Data!H593))</f>
        <v>Monitor 27</v>
      </c>
      <c r="I593">
        <f>IFERROR(MAX(0,VALUE(Raw_Data!I593)),0)</f>
        <v>1</v>
      </c>
      <c r="J593" s="13">
        <f>IFERROR(VALUE(Raw_Data!J593),0)</f>
        <v>26662</v>
      </c>
      <c r="K593" s="14">
        <f>IFERROR(VALUE(Raw_Data!K593),0)</f>
        <v>0.15</v>
      </c>
      <c r="L593" t="str">
        <f>PROPER(TRIM(Raw_Data!L593))</f>
        <v>Delivered</v>
      </c>
      <c r="M593" s="13">
        <f t="shared" si="72"/>
        <v>26662</v>
      </c>
      <c r="N593" s="13">
        <f t="shared" si="73"/>
        <v>3999.3</v>
      </c>
      <c r="O593" s="13">
        <f t="shared" si="74"/>
        <v>22662.7</v>
      </c>
      <c r="P593" s="13">
        <f t="shared" si="75"/>
        <v>18663.4</v>
      </c>
      <c r="Q593" s="13">
        <f t="shared" si="76"/>
        <v>3999.3</v>
      </c>
      <c r="R593" s="10">
        <f t="shared" si="77"/>
        <v>0.176470588235294</v>
      </c>
      <c r="S593" t="str">
        <f t="shared" si="78"/>
        <v>Jun-2026</v>
      </c>
      <c r="T593" t="str">
        <f t="shared" si="79"/>
        <v>OK</v>
      </c>
    </row>
    <row r="594" spans="1:20">
      <c r="A594" t="str">
        <f>TRIM(Raw_Data!A594)</f>
        <v>ORD-10593</v>
      </c>
      <c r="B594" s="12">
        <f>IFERROR(IF(ISNUMBER(Raw_Data!B594),Raw_Data!B594,DATEVALUE(Raw_Data!B594)),"")</f>
        <v>46061</v>
      </c>
      <c r="C594" t="str">
        <f>PROPER(TRIM(Raw_Data!C594))</f>
        <v>Asha</v>
      </c>
      <c r="D594" t="str">
        <f>IF(TRIM(Raw_Data!D594)="Bangalore","Bengaluru",IF(TRIM(Raw_Data!D594)="Mysore","Mysuru",IF(TRIM(Raw_Data!D594)="Cochin","Kochi",PROPER(TRIM(Raw_Data!D594)))))</f>
        <v>Bengaluru</v>
      </c>
      <c r="E594" t="str">
        <f>PROPER(TRIM(Raw_Data!E594))</f>
        <v>Online</v>
      </c>
      <c r="F594" t="str">
        <f>PROPER(TRIM(Raw_Data!F594))</f>
        <v>Consumer</v>
      </c>
      <c r="G594" t="str">
        <f>PROPER(TRIM(Raw_Data!G594))</f>
        <v>Monitor</v>
      </c>
      <c r="H594" t="str">
        <f>PROPER(TRIM(Raw_Data!H594))</f>
        <v>Monitor 27</v>
      </c>
      <c r="I594">
        <f>IFERROR(MAX(0,VALUE(Raw_Data!I594)),0)</f>
        <v>7</v>
      </c>
      <c r="J594" s="13">
        <f>IFERROR(VALUE(Raw_Data!J594),0)</f>
        <v>21433</v>
      </c>
      <c r="K594" s="14">
        <f>IFERROR(VALUE(Raw_Data!K594),0)</f>
        <v>0.08</v>
      </c>
      <c r="L594" t="str">
        <f>PROPER(TRIM(Raw_Data!L594))</f>
        <v>Delivered</v>
      </c>
      <c r="M594" s="13">
        <f t="shared" si="72"/>
        <v>150031</v>
      </c>
      <c r="N594" s="13">
        <f t="shared" si="73"/>
        <v>12002.48</v>
      </c>
      <c r="O594" s="13">
        <f t="shared" si="74"/>
        <v>138028.52</v>
      </c>
      <c r="P594" s="13">
        <f t="shared" si="75"/>
        <v>105021.7</v>
      </c>
      <c r="Q594" s="13">
        <f t="shared" si="76"/>
        <v>33006.82</v>
      </c>
      <c r="R594" s="10">
        <f t="shared" si="77"/>
        <v>0.239130434782609</v>
      </c>
      <c r="S594" t="str">
        <f t="shared" si="78"/>
        <v>Feb-2026</v>
      </c>
      <c r="T594" t="str">
        <f t="shared" si="79"/>
        <v>OK</v>
      </c>
    </row>
    <row r="595" spans="1:20">
      <c r="A595" t="str">
        <f>TRIM(Raw_Data!A595)</f>
        <v>ORD-10594</v>
      </c>
      <c r="B595" s="12">
        <f>IFERROR(IF(ISNUMBER(Raw_Data!B595),Raw_Data!B595,DATEVALUE(Raw_Data!B595)),"")</f>
        <v>46153</v>
      </c>
      <c r="C595" t="str">
        <f>PROPER(TRIM(Raw_Data!C595))</f>
        <v>Asha</v>
      </c>
      <c r="D595" t="str">
        <f>IF(TRIM(Raw_Data!D595)="Bangalore","Bengaluru",IF(TRIM(Raw_Data!D595)="Mysore","Mysuru",IF(TRIM(Raw_Data!D595)="Cochin","Kochi",PROPER(TRIM(Raw_Data!D595)))))</f>
        <v>New Delhi</v>
      </c>
      <c r="E595" t="str">
        <f>PROPER(TRIM(Raw_Data!E595))</f>
        <v>Online</v>
      </c>
      <c r="F595" t="str">
        <f>PROPER(TRIM(Raw_Data!F595))</f>
        <v>Consumer</v>
      </c>
      <c r="G595" t="str">
        <f>PROPER(TRIM(Raw_Data!G595))</f>
        <v>Monitor</v>
      </c>
      <c r="H595" t="str">
        <f>PROPER(TRIM(Raw_Data!H595))</f>
        <v>Monitor 27</v>
      </c>
      <c r="I595">
        <f>IFERROR(MAX(0,VALUE(Raw_Data!I595)),0)</f>
        <v>0</v>
      </c>
      <c r="J595" s="13">
        <f>IFERROR(VALUE(Raw_Data!J595),0)</f>
        <v>20999</v>
      </c>
      <c r="K595" s="14">
        <f>IFERROR(VALUE(Raw_Data!K595),0)</f>
        <v>0.15</v>
      </c>
      <c r="L595" t="str">
        <f>PROPER(TRIM(Raw_Data!L595))</f>
        <v>Delivered</v>
      </c>
      <c r="M595" s="13">
        <f t="shared" si="72"/>
        <v>0</v>
      </c>
      <c r="N595" s="13">
        <f t="shared" si="73"/>
        <v>0</v>
      </c>
      <c r="O595" s="13">
        <f t="shared" si="74"/>
        <v>0</v>
      </c>
      <c r="P595" s="13">
        <f t="shared" si="75"/>
        <v>0</v>
      </c>
      <c r="Q595" s="13">
        <f t="shared" si="76"/>
        <v>0</v>
      </c>
      <c r="R595" s="10">
        <f t="shared" si="77"/>
        <v>0</v>
      </c>
      <c r="S595" t="str">
        <f t="shared" si="78"/>
        <v>May-2026</v>
      </c>
      <c r="T595" t="str">
        <f t="shared" si="79"/>
        <v>CHECK</v>
      </c>
    </row>
    <row r="596" spans="1:20">
      <c r="A596" t="str">
        <f>TRIM(Raw_Data!A596)</f>
        <v>ORD-10595</v>
      </c>
      <c r="B596" s="12">
        <f>IFERROR(IF(ISNUMBER(Raw_Data!B596),Raw_Data!B596,DATEVALUE(Raw_Data!B596)),"")</f>
        <v>46259</v>
      </c>
      <c r="C596" t="str">
        <f>PROPER(TRIM(Raw_Data!C596))</f>
        <v>Asha</v>
      </c>
      <c r="D596" t="str">
        <f>IF(TRIM(Raw_Data!D596)="Bangalore","Bengaluru",IF(TRIM(Raw_Data!D596)="Mysore","Mysuru",IF(TRIM(Raw_Data!D596)="Cochin","Kochi",PROPER(TRIM(Raw_Data!D596)))))</f>
        <v>Hyderabad</v>
      </c>
      <c r="E596" t="str">
        <f>PROPER(TRIM(Raw_Data!E596))</f>
        <v>Corporate</v>
      </c>
      <c r="F596" t="str">
        <f>PROPER(TRIM(Raw_Data!F596))</f>
        <v>Enterprise</v>
      </c>
      <c r="G596" t="str">
        <f>PROPER(TRIM(Raw_Data!G596))</f>
        <v>Headset</v>
      </c>
      <c r="H596" t="str">
        <f>PROPER(TRIM(Raw_Data!H596))</f>
        <v>Headset Pro</v>
      </c>
      <c r="I596">
        <f>IFERROR(MAX(0,VALUE(Raw_Data!I596)),0)</f>
        <v>7</v>
      </c>
      <c r="J596" s="13">
        <f>IFERROR(VALUE(Raw_Data!J596),0)</f>
        <v>2502</v>
      </c>
      <c r="K596" s="14">
        <f>IFERROR(VALUE(Raw_Data!K596),0)</f>
        <v>0.05</v>
      </c>
      <c r="L596" t="str">
        <f>PROPER(TRIM(Raw_Data!L596))</f>
        <v>Cancelled</v>
      </c>
      <c r="M596" s="13">
        <f t="shared" si="72"/>
        <v>17514</v>
      </c>
      <c r="N596" s="13">
        <f t="shared" si="73"/>
        <v>875.7</v>
      </c>
      <c r="O596" s="13">
        <f t="shared" si="74"/>
        <v>16638.3</v>
      </c>
      <c r="P596" s="13">
        <f t="shared" si="75"/>
        <v>10508.4</v>
      </c>
      <c r="Q596" s="13">
        <f t="shared" si="76"/>
        <v>6129.9</v>
      </c>
      <c r="R596" s="10">
        <f t="shared" si="77"/>
        <v>0.368421052631579</v>
      </c>
      <c r="S596" t="str">
        <f t="shared" si="78"/>
        <v>Aug-2026</v>
      </c>
      <c r="T596" t="str">
        <f t="shared" si="79"/>
        <v>OK</v>
      </c>
    </row>
    <row r="597" spans="1:20">
      <c r="A597" t="str">
        <f>TRIM(Raw_Data!A597)</f>
        <v>ORD-10596</v>
      </c>
      <c r="B597" s="12">
        <f>IFERROR(IF(ISNUMBER(Raw_Data!B597),Raw_Data!B597,DATEVALUE(Raw_Data!B597)),"")</f>
        <v>46039</v>
      </c>
      <c r="C597" t="str">
        <f>PROPER(TRIM(Raw_Data!C597))</f>
        <v>Meghana</v>
      </c>
      <c r="D597" t="str">
        <f>IF(TRIM(Raw_Data!D597)="Bangalore","Bengaluru",IF(TRIM(Raw_Data!D597)="Mysore","Mysuru",IF(TRIM(Raw_Data!D597)="Cochin","Kochi",PROPER(TRIM(Raw_Data!D597)))))</f>
        <v>Kochi</v>
      </c>
      <c r="E597" t="str">
        <f>PROPER(TRIM(Raw_Data!E597))</f>
        <v>Online</v>
      </c>
      <c r="F597" t="str">
        <f>PROPER(TRIM(Raw_Data!F597))</f>
        <v>Consumer</v>
      </c>
      <c r="G597" t="str">
        <f>PROPER(TRIM(Raw_Data!G597))</f>
        <v>Monitor</v>
      </c>
      <c r="H597" t="str">
        <f>PROPER(TRIM(Raw_Data!H597))</f>
        <v>Monitor 32</v>
      </c>
      <c r="I597">
        <f>IFERROR(MAX(0,VALUE(Raw_Data!I597)),0)</f>
        <v>5</v>
      </c>
      <c r="J597" s="13">
        <f>IFERROR(VALUE(Raw_Data!J597),0)</f>
        <v>14599</v>
      </c>
      <c r="K597" s="14">
        <f>IFERROR(VALUE(Raw_Data!K597),0)</f>
        <v>0.08</v>
      </c>
      <c r="L597" t="str">
        <f>PROPER(TRIM(Raw_Data!L597))</f>
        <v>Delivered</v>
      </c>
      <c r="M597" s="13">
        <f t="shared" si="72"/>
        <v>72995</v>
      </c>
      <c r="N597" s="13">
        <f t="shared" si="73"/>
        <v>5839.6</v>
      </c>
      <c r="O597" s="13">
        <f t="shared" si="74"/>
        <v>67155.4</v>
      </c>
      <c r="P597" s="13">
        <f t="shared" si="75"/>
        <v>51096.5</v>
      </c>
      <c r="Q597" s="13">
        <f t="shared" si="76"/>
        <v>16058.9</v>
      </c>
      <c r="R597" s="10">
        <f t="shared" si="77"/>
        <v>0.239130434782609</v>
      </c>
      <c r="S597" t="str">
        <f t="shared" si="78"/>
        <v>Jan-2026</v>
      </c>
      <c r="T597" t="str">
        <f t="shared" si="79"/>
        <v>OK</v>
      </c>
    </row>
    <row r="598" spans="1:20">
      <c r="A598" t="str">
        <f>TRIM(Raw_Data!A598)</f>
        <v>ORD-10597</v>
      </c>
      <c r="B598" s="12">
        <f>IFERROR(IF(ISNUMBER(Raw_Data!B598),Raw_Data!B598,DATEVALUE(Raw_Data!B598)),"")</f>
        <v>46184</v>
      </c>
      <c r="C598" t="str">
        <f>PROPER(TRIM(Raw_Data!C598))</f>
        <v>Priya</v>
      </c>
      <c r="D598" t="str">
        <f>IF(TRIM(Raw_Data!D598)="Bangalore","Bengaluru",IF(TRIM(Raw_Data!D598)="Mysore","Mysuru",IF(TRIM(Raw_Data!D598)="Cochin","Kochi",PROPER(TRIM(Raw_Data!D598)))))</f>
        <v>Delhi</v>
      </c>
      <c r="E598" t="str">
        <f>PROPER(TRIM(Raw_Data!E598))</f>
        <v>Corporate</v>
      </c>
      <c r="F598" t="str">
        <f>PROPER(TRIM(Raw_Data!F598))</f>
        <v>Smb</v>
      </c>
      <c r="G598" t="str">
        <f>PROPER(TRIM(Raw_Data!G598))</f>
        <v>Mouse</v>
      </c>
      <c r="H598" t="str">
        <f>PROPER(TRIM(Raw_Data!H598))</f>
        <v>Mouse Wireless</v>
      </c>
      <c r="I598">
        <f>IFERROR(MAX(0,VALUE(Raw_Data!I598)),0)</f>
        <v>4</v>
      </c>
      <c r="J598" s="13">
        <f>IFERROR(VALUE(Raw_Data!J598),0)</f>
        <v>1464</v>
      </c>
      <c r="K598" s="14">
        <f>IFERROR(VALUE(Raw_Data!K598),0)</f>
        <v>0.15</v>
      </c>
      <c r="L598" t="str">
        <f>PROPER(TRIM(Raw_Data!L598))</f>
        <v>Returned</v>
      </c>
      <c r="M598" s="13">
        <f t="shared" si="72"/>
        <v>5856</v>
      </c>
      <c r="N598" s="13">
        <f t="shared" si="73"/>
        <v>878.4</v>
      </c>
      <c r="O598" s="13">
        <f t="shared" si="74"/>
        <v>4977.6</v>
      </c>
      <c r="P598" s="13">
        <f t="shared" si="75"/>
        <v>3220.8</v>
      </c>
      <c r="Q598" s="13">
        <f t="shared" si="76"/>
        <v>1756.8</v>
      </c>
      <c r="R598" s="10">
        <f t="shared" si="77"/>
        <v>0.352941176470588</v>
      </c>
      <c r="S598" t="str">
        <f t="shared" si="78"/>
        <v>Jun-2026</v>
      </c>
      <c r="T598" t="str">
        <f t="shared" si="79"/>
        <v>OK</v>
      </c>
    </row>
    <row r="599" spans="1:20">
      <c r="A599" t="str">
        <f>TRIM(Raw_Data!A599)</f>
        <v>ORD-10598</v>
      </c>
      <c r="B599" s="12">
        <f>IFERROR(IF(ISNUMBER(Raw_Data!B599),Raw_Data!B599,DATEVALUE(Raw_Data!B599)),"")</f>
        <v>46220</v>
      </c>
      <c r="C599" t="str">
        <f>PROPER(TRIM(Raw_Data!C599))</f>
        <v>Neha</v>
      </c>
      <c r="D599" t="str">
        <f>IF(TRIM(Raw_Data!D599)="Bangalore","Bengaluru",IF(TRIM(Raw_Data!D599)="Mysore","Mysuru",IF(TRIM(Raw_Data!D599)="Cochin","Kochi",PROPER(TRIM(Raw_Data!D599)))))</f>
        <v>Chennai</v>
      </c>
      <c r="E599" t="str">
        <f>PROPER(TRIM(Raw_Data!E599))</f>
        <v>Corporate</v>
      </c>
      <c r="F599" t="str">
        <f>PROPER(TRIM(Raw_Data!F599))</f>
        <v>Smb</v>
      </c>
      <c r="G599" t="str">
        <f>PROPER(TRIM(Raw_Data!G599))</f>
        <v>Monitor</v>
      </c>
      <c r="H599" t="str">
        <f>PROPER(TRIM(Raw_Data!H599))</f>
        <v>Monitor 32</v>
      </c>
      <c r="I599">
        <f>IFERROR(MAX(0,VALUE(Raw_Data!I599)),0)</f>
        <v>5</v>
      </c>
      <c r="J599" s="13">
        <f>IFERROR(VALUE(Raw_Data!J599),0)</f>
        <v>16911</v>
      </c>
      <c r="K599" s="14">
        <f>IFERROR(VALUE(Raw_Data!K599),0)</f>
        <v>0.05</v>
      </c>
      <c r="L599" t="str">
        <f>PROPER(TRIM(Raw_Data!L599))</f>
        <v>Returned</v>
      </c>
      <c r="M599" s="13">
        <f t="shared" si="72"/>
        <v>84555</v>
      </c>
      <c r="N599" s="13">
        <f t="shared" si="73"/>
        <v>4227.75</v>
      </c>
      <c r="O599" s="13">
        <f t="shared" si="74"/>
        <v>80327.25</v>
      </c>
      <c r="P599" s="13">
        <f t="shared" si="75"/>
        <v>59188.5</v>
      </c>
      <c r="Q599" s="13">
        <f t="shared" si="76"/>
        <v>21138.75</v>
      </c>
      <c r="R599" s="10">
        <f t="shared" si="77"/>
        <v>0.263157894736842</v>
      </c>
      <c r="S599" t="str">
        <f t="shared" si="78"/>
        <v>Jul-2026</v>
      </c>
      <c r="T599" t="str">
        <f t="shared" si="79"/>
        <v>OK</v>
      </c>
    </row>
    <row r="600" spans="1:20">
      <c r="A600" t="str">
        <f>TRIM(Raw_Data!A600)</f>
        <v>ORD-10599</v>
      </c>
      <c r="B600" s="12">
        <f>IFERROR(IF(ISNUMBER(Raw_Data!B600),Raw_Data!B600,DATEVALUE(Raw_Data!B600)),"")</f>
        <v>46157</v>
      </c>
      <c r="C600" t="str">
        <f>PROPER(TRIM(Raw_Data!C600))</f>
        <v>Neha</v>
      </c>
      <c r="D600" t="str">
        <f>IF(TRIM(Raw_Data!D600)="Bangalore","Bengaluru",IF(TRIM(Raw_Data!D600)="Mysore","Mysuru",IF(TRIM(Raw_Data!D600)="Cochin","Kochi",PROPER(TRIM(Raw_Data!D600)))))</f>
        <v>Delhi</v>
      </c>
      <c r="E600" t="str">
        <f>PROPER(TRIM(Raw_Data!E600))</f>
        <v>Corporate</v>
      </c>
      <c r="F600" t="str">
        <f>PROPER(TRIM(Raw_Data!F600))</f>
        <v>Smb</v>
      </c>
      <c r="G600" t="str">
        <f>PROPER(TRIM(Raw_Data!G600))</f>
        <v>Keyboard</v>
      </c>
      <c r="H600" t="str">
        <f>PROPER(TRIM(Raw_Data!H600))</f>
        <v>Keyboard Office</v>
      </c>
      <c r="I600">
        <f>IFERROR(MAX(0,VALUE(Raw_Data!I600)),0)</f>
        <v>2</v>
      </c>
      <c r="J600" s="13">
        <f>IFERROR(VALUE(Raw_Data!J600),0)</f>
        <v>3017</v>
      </c>
      <c r="K600" s="14">
        <f>IFERROR(VALUE(Raw_Data!K600),0)</f>
        <v>0</v>
      </c>
      <c r="L600" t="str">
        <f>PROPER(TRIM(Raw_Data!L600))</f>
        <v>Returned</v>
      </c>
      <c r="M600" s="13">
        <f t="shared" si="72"/>
        <v>6034</v>
      </c>
      <c r="N600" s="13">
        <f t="shared" si="73"/>
        <v>0</v>
      </c>
      <c r="O600" s="13">
        <f t="shared" si="74"/>
        <v>6034</v>
      </c>
      <c r="P600" s="13">
        <f t="shared" si="75"/>
        <v>3499.72</v>
      </c>
      <c r="Q600" s="13">
        <f t="shared" si="76"/>
        <v>2534.28</v>
      </c>
      <c r="R600" s="10">
        <f t="shared" si="77"/>
        <v>0.42</v>
      </c>
      <c r="S600" t="str">
        <f t="shared" si="78"/>
        <v>May-2026</v>
      </c>
      <c r="T600" t="str">
        <f t="shared" si="79"/>
        <v>OK</v>
      </c>
    </row>
    <row r="601" spans="1:20">
      <c r="A601" t="str">
        <f>TRIM(Raw_Data!A601)</f>
        <v>ORD-10600</v>
      </c>
      <c r="B601" s="12">
        <f>IFERROR(IF(ISNUMBER(Raw_Data!B601),Raw_Data!B601,DATEVALUE(Raw_Data!B601)),"")</f>
        <v>46241</v>
      </c>
      <c r="C601" t="str">
        <f>PROPER(TRIM(Raw_Data!C601))</f>
        <v>Asha</v>
      </c>
      <c r="D601" t="str">
        <f>IF(TRIM(Raw_Data!D601)="Bangalore","Bengaluru",IF(TRIM(Raw_Data!D601)="Mysore","Mysuru",IF(TRIM(Raw_Data!D601)="Cochin","Kochi",PROPER(TRIM(Raw_Data!D601)))))</f>
        <v>Chennai</v>
      </c>
      <c r="E601" t="str">
        <f>PROPER(TRIM(Raw_Data!E601))</f>
        <v>Online</v>
      </c>
      <c r="F601" t="str">
        <f>PROPER(TRIM(Raw_Data!F601))</f>
        <v>Smb</v>
      </c>
      <c r="G601" t="str">
        <f>PROPER(TRIM(Raw_Data!G601))</f>
        <v>Laptop</v>
      </c>
      <c r="H601" t="str">
        <f>PROPER(TRIM(Raw_Data!H601))</f>
        <v>Business Laptop 15</v>
      </c>
      <c r="I601">
        <f>IFERROR(MAX(0,VALUE(Raw_Data!I601)),0)</f>
        <v>2</v>
      </c>
      <c r="J601" s="13">
        <f>IFERROR(VALUE(Raw_Data!J601),0)</f>
        <v>50496</v>
      </c>
      <c r="K601" s="14">
        <f>IFERROR(VALUE(Raw_Data!K601),0)</f>
        <v>0.08</v>
      </c>
      <c r="L601" t="str">
        <f>PROPER(TRIM(Raw_Data!L601))</f>
        <v>Cancelled</v>
      </c>
      <c r="M601" s="13">
        <f t="shared" si="72"/>
        <v>100992</v>
      </c>
      <c r="N601" s="13">
        <f t="shared" si="73"/>
        <v>8079.36</v>
      </c>
      <c r="O601" s="13">
        <f t="shared" si="74"/>
        <v>92912.64</v>
      </c>
      <c r="P601" s="13">
        <f t="shared" si="75"/>
        <v>78773.76</v>
      </c>
      <c r="Q601" s="13">
        <f t="shared" si="76"/>
        <v>14138.88</v>
      </c>
      <c r="R601" s="10">
        <f t="shared" si="77"/>
        <v>0.152173913043478</v>
      </c>
      <c r="S601" t="str">
        <f t="shared" si="78"/>
        <v>Aug-2026</v>
      </c>
      <c r="T601" t="str">
        <f t="shared" si="79"/>
        <v>OK</v>
      </c>
    </row>
    <row r="602" spans="1:20">
      <c r="A602" t="str">
        <f>TRIM(Raw_Data!A602)</f>
        <v>ORD-10601</v>
      </c>
      <c r="B602" s="12">
        <f>IFERROR(IF(ISNUMBER(Raw_Data!B602),Raw_Data!B602,DATEVALUE(Raw_Data!B602)),"")</f>
        <v>46143</v>
      </c>
      <c r="C602" t="str">
        <f>PROPER(TRIM(Raw_Data!C602))</f>
        <v>Arjun</v>
      </c>
      <c r="D602" t="str">
        <f>IF(TRIM(Raw_Data!D602)="Bangalore","Bengaluru",IF(TRIM(Raw_Data!D602)="Mysore","Mysuru",IF(TRIM(Raw_Data!D602)="Cochin","Kochi",PROPER(TRIM(Raw_Data!D602)))))</f>
        <v>Mumbai</v>
      </c>
      <c r="E602" t="str">
        <f>PROPER(TRIM(Raw_Data!E602))</f>
        <v>Retail Store</v>
      </c>
      <c r="F602" t="str">
        <f>PROPER(TRIM(Raw_Data!F602))</f>
        <v>Smb</v>
      </c>
      <c r="G602" t="str">
        <f>PROPER(TRIM(Raw_Data!G602))</f>
        <v>Mouse</v>
      </c>
      <c r="H602" t="str">
        <f>PROPER(TRIM(Raw_Data!H602))</f>
        <v>Mouse Ergonomic</v>
      </c>
      <c r="I602">
        <f>IFERROR(MAX(0,VALUE(Raw_Data!I602)),0)</f>
        <v>4</v>
      </c>
      <c r="J602" s="13">
        <f>IFERROR(VALUE(Raw_Data!J602),0)</f>
        <v>712</v>
      </c>
      <c r="K602" s="14">
        <f>IFERROR(VALUE(Raw_Data!K602),0)</f>
        <v>0.08</v>
      </c>
      <c r="L602" t="str">
        <f>PROPER(TRIM(Raw_Data!L602))</f>
        <v>Delivered</v>
      </c>
      <c r="M602" s="13">
        <f t="shared" si="72"/>
        <v>2848</v>
      </c>
      <c r="N602" s="13">
        <f t="shared" si="73"/>
        <v>227.84</v>
      </c>
      <c r="O602" s="13">
        <f t="shared" si="74"/>
        <v>2620.16</v>
      </c>
      <c r="P602" s="13">
        <f t="shared" si="75"/>
        <v>1566.4</v>
      </c>
      <c r="Q602" s="13">
        <f t="shared" si="76"/>
        <v>1053.76</v>
      </c>
      <c r="R602" s="10">
        <f t="shared" si="77"/>
        <v>0.402173913043478</v>
      </c>
      <c r="S602" t="str">
        <f t="shared" si="78"/>
        <v>May-2026</v>
      </c>
      <c r="T602" t="str">
        <f t="shared" si="79"/>
        <v>OK</v>
      </c>
    </row>
    <row r="603" spans="1:20">
      <c r="A603" t="str">
        <f>TRIM(Raw_Data!A603)</f>
        <v>ORD-10602</v>
      </c>
      <c r="B603" s="12">
        <f>IFERROR(IF(ISNUMBER(Raw_Data!B603),Raw_Data!B603,DATEVALUE(Raw_Data!B603)),"")</f>
        <v>46127</v>
      </c>
      <c r="C603" t="str">
        <f>PROPER(TRIM(Raw_Data!C603))</f>
        <v>Ravi</v>
      </c>
      <c r="D603" t="str">
        <f>IF(TRIM(Raw_Data!D603)="Bangalore","Bengaluru",IF(TRIM(Raw_Data!D603)="Mysore","Mysuru",IF(TRIM(Raw_Data!D603)="Cochin","Kochi",PROPER(TRIM(Raw_Data!D603)))))</f>
        <v>Hydrabad</v>
      </c>
      <c r="E603" t="str">
        <f>PROPER(TRIM(Raw_Data!E603))</f>
        <v>Corporate</v>
      </c>
      <c r="F603" t="str">
        <f>PROPER(TRIM(Raw_Data!F603))</f>
        <v>Consumer</v>
      </c>
      <c r="G603" t="str">
        <f>PROPER(TRIM(Raw_Data!G603))</f>
        <v>Monitor</v>
      </c>
      <c r="H603" t="str">
        <f>PROPER(TRIM(Raw_Data!H603))</f>
        <v>Monitor 24</v>
      </c>
      <c r="I603">
        <f>IFERROR(MAX(0,VALUE(Raw_Data!I603)),0)</f>
        <v>8</v>
      </c>
      <c r="J603" s="13">
        <f>IFERROR(VALUE(Raw_Data!J603),0)</f>
        <v>25575</v>
      </c>
      <c r="K603" s="14">
        <f>IFERROR(VALUE(Raw_Data!K603),0)</f>
        <v>0.05</v>
      </c>
      <c r="L603" t="str">
        <f>PROPER(TRIM(Raw_Data!L603))</f>
        <v>Delivered</v>
      </c>
      <c r="M603" s="13">
        <f t="shared" si="72"/>
        <v>204600</v>
      </c>
      <c r="N603" s="13">
        <f t="shared" si="73"/>
        <v>10230</v>
      </c>
      <c r="O603" s="13">
        <f t="shared" si="74"/>
        <v>194370</v>
      </c>
      <c r="P603" s="13">
        <f t="shared" si="75"/>
        <v>143220</v>
      </c>
      <c r="Q603" s="13">
        <f t="shared" si="76"/>
        <v>51150</v>
      </c>
      <c r="R603" s="10">
        <f t="shared" si="77"/>
        <v>0.263157894736842</v>
      </c>
      <c r="S603" t="str">
        <f t="shared" si="78"/>
        <v>Apr-2026</v>
      </c>
      <c r="T603" t="str">
        <f t="shared" si="79"/>
        <v>OK</v>
      </c>
    </row>
    <row r="604" spans="1:20">
      <c r="A604" t="str">
        <f>TRIM(Raw_Data!A604)</f>
        <v>ORD-10603</v>
      </c>
      <c r="B604" s="12">
        <f>IFERROR(IF(ISNUMBER(Raw_Data!B604),Raw_Data!B604,DATEVALUE(Raw_Data!B604)),"")</f>
        <v>46132</v>
      </c>
      <c r="C604" t="str">
        <f>PROPER(TRIM(Raw_Data!C604))</f>
        <v>Asha</v>
      </c>
      <c r="D604" t="str">
        <f>IF(TRIM(Raw_Data!D604)="Bangalore","Bengaluru",IF(TRIM(Raw_Data!D604)="Mysore","Mysuru",IF(TRIM(Raw_Data!D604)="Cochin","Kochi",PROPER(TRIM(Raw_Data!D604)))))</f>
        <v>Bengaluru</v>
      </c>
      <c r="E604" t="str">
        <f>PROPER(TRIM(Raw_Data!E604))</f>
        <v>Retail Store</v>
      </c>
      <c r="F604" t="str">
        <f>PROPER(TRIM(Raw_Data!F604))</f>
        <v>Consumer</v>
      </c>
      <c r="G604" t="str">
        <f>PROPER(TRIM(Raw_Data!G604))</f>
        <v>Mouse</v>
      </c>
      <c r="H604" t="str">
        <f>PROPER(TRIM(Raw_Data!H604))</f>
        <v>Mouse Basic</v>
      </c>
      <c r="I604">
        <f>IFERROR(MAX(0,VALUE(Raw_Data!I604)),0)</f>
        <v>1</v>
      </c>
      <c r="J604" s="13">
        <f>IFERROR(VALUE(Raw_Data!J604),0)</f>
        <v>1227</v>
      </c>
      <c r="K604" s="14">
        <f>IFERROR(VALUE(Raw_Data!K604),0)</f>
        <v>0</v>
      </c>
      <c r="L604" t="str">
        <f>PROPER(TRIM(Raw_Data!L604))</f>
        <v>Delivered</v>
      </c>
      <c r="M604" s="13">
        <f t="shared" si="72"/>
        <v>1227</v>
      </c>
      <c r="N604" s="13">
        <f t="shared" si="73"/>
        <v>0</v>
      </c>
      <c r="O604" s="13">
        <f t="shared" si="74"/>
        <v>1227</v>
      </c>
      <c r="P604" s="13">
        <f t="shared" si="75"/>
        <v>674.85</v>
      </c>
      <c r="Q604" s="13">
        <f t="shared" si="76"/>
        <v>552.15</v>
      </c>
      <c r="R604" s="10">
        <f t="shared" si="77"/>
        <v>0.45</v>
      </c>
      <c r="S604" t="str">
        <f t="shared" si="78"/>
        <v>Apr-2026</v>
      </c>
      <c r="T604" t="str">
        <f t="shared" si="79"/>
        <v>OK</v>
      </c>
    </row>
    <row r="605" spans="1:20">
      <c r="A605" t="str">
        <f>TRIM(Raw_Data!A605)</f>
        <v>ORD-10604</v>
      </c>
      <c r="B605" s="12">
        <f>IFERROR(IF(ISNUMBER(Raw_Data!B605),Raw_Data!B605,DATEVALUE(Raw_Data!B605)),"")</f>
        <v>46088</v>
      </c>
      <c r="C605" t="str">
        <f>PROPER(TRIM(Raw_Data!C605))</f>
        <v>Kiran</v>
      </c>
      <c r="D605" t="str">
        <f>IF(TRIM(Raw_Data!D605)="Bangalore","Bengaluru",IF(TRIM(Raw_Data!D605)="Mysore","Mysuru",IF(TRIM(Raw_Data!D605)="Cochin","Kochi",PROPER(TRIM(Raw_Data!D605)))))</f>
        <v>Bengaluru</v>
      </c>
      <c r="E605" t="str">
        <f>PROPER(TRIM(Raw_Data!E605))</f>
        <v>Online</v>
      </c>
      <c r="F605" t="str">
        <f>PROPER(TRIM(Raw_Data!F605))</f>
        <v>Consumer</v>
      </c>
      <c r="G605" t="str">
        <f>PROPER(TRIM(Raw_Data!G605))</f>
        <v>Keyboard</v>
      </c>
      <c r="H605" t="str">
        <f>PROPER(TRIM(Raw_Data!H605))</f>
        <v>Keyboard Mechanical</v>
      </c>
      <c r="I605">
        <f>IFERROR(MAX(0,VALUE(Raw_Data!I605)),0)</f>
        <v>2</v>
      </c>
      <c r="J605" s="13">
        <f>IFERROR(VALUE(Raw_Data!J605),0)</f>
        <v>0</v>
      </c>
      <c r="K605" s="14">
        <f>IFERROR(VALUE(Raw_Data!K605),0)</f>
        <v>0.08</v>
      </c>
      <c r="L605" t="str">
        <f>PROPER(TRIM(Raw_Data!L605))</f>
        <v>Returned</v>
      </c>
      <c r="M605" s="13">
        <f t="shared" si="72"/>
        <v>0</v>
      </c>
      <c r="N605" s="13">
        <f t="shared" si="73"/>
        <v>0</v>
      </c>
      <c r="O605" s="13">
        <f t="shared" si="74"/>
        <v>0</v>
      </c>
      <c r="P605" s="13">
        <f t="shared" si="75"/>
        <v>0</v>
      </c>
      <c r="Q605" s="13">
        <f t="shared" si="76"/>
        <v>0</v>
      </c>
      <c r="R605" s="10">
        <f t="shared" si="77"/>
        <v>0</v>
      </c>
      <c r="S605" t="str">
        <f t="shared" si="78"/>
        <v>Mar-2026</v>
      </c>
      <c r="T605" t="str">
        <f t="shared" si="79"/>
        <v>CHECK</v>
      </c>
    </row>
    <row r="606" spans="1:20">
      <c r="A606" t="str">
        <f>TRIM(Raw_Data!A606)</f>
        <v>ORD-10605</v>
      </c>
      <c r="B606" s="12">
        <f>IFERROR(IF(ISNUMBER(Raw_Data!B606),Raw_Data!B606,DATEVALUE(Raw_Data!B606)),"")</f>
        <v>46072</v>
      </c>
      <c r="C606" t="str">
        <f>PROPER(TRIM(Raw_Data!C606))</f>
        <v>Ravi</v>
      </c>
      <c r="D606" t="str">
        <f>IF(TRIM(Raw_Data!D606)="Bangalore","Bengaluru",IF(TRIM(Raw_Data!D606)="Mysore","Mysuru",IF(TRIM(Raw_Data!D606)="Cochin","Kochi",PROPER(TRIM(Raw_Data!D606)))))</f>
        <v>Pune</v>
      </c>
      <c r="E606" t="str">
        <f>PROPER(TRIM(Raw_Data!E606))</f>
        <v>Retail Store</v>
      </c>
      <c r="F606" t="str">
        <f>PROPER(TRIM(Raw_Data!F606))</f>
        <v>Smb</v>
      </c>
      <c r="G606" t="str">
        <f>PROPER(TRIM(Raw_Data!G606))</f>
        <v>Keyboard</v>
      </c>
      <c r="H606" t="str">
        <f>PROPER(TRIM(Raw_Data!H606))</f>
        <v>Keyboard Mechanical</v>
      </c>
      <c r="I606">
        <f>IFERROR(MAX(0,VALUE(Raw_Data!I606)),0)</f>
        <v>4</v>
      </c>
      <c r="J606" s="13">
        <f>IFERROR(VALUE(Raw_Data!J606),0)</f>
        <v>2318</v>
      </c>
      <c r="K606" s="14">
        <f>IFERROR(VALUE(Raw_Data!K606),0)</f>
        <v>0.02</v>
      </c>
      <c r="L606" t="str">
        <f>PROPER(TRIM(Raw_Data!L606))</f>
        <v>Returned</v>
      </c>
      <c r="M606" s="13">
        <f t="shared" si="72"/>
        <v>9272</v>
      </c>
      <c r="N606" s="13">
        <f t="shared" si="73"/>
        <v>185.44</v>
      </c>
      <c r="O606" s="13">
        <f t="shared" si="74"/>
        <v>9086.56</v>
      </c>
      <c r="P606" s="13">
        <f t="shared" si="75"/>
        <v>5377.76</v>
      </c>
      <c r="Q606" s="13">
        <f t="shared" si="76"/>
        <v>3708.8</v>
      </c>
      <c r="R606" s="10">
        <f t="shared" si="77"/>
        <v>0.408163265306123</v>
      </c>
      <c r="S606" t="str">
        <f t="shared" si="78"/>
        <v>Feb-2026</v>
      </c>
      <c r="T606" t="str">
        <f t="shared" si="79"/>
        <v>OK</v>
      </c>
    </row>
    <row r="607" spans="1:20">
      <c r="A607" t="str">
        <f>TRIM(Raw_Data!A607)</f>
        <v>ORD-10606</v>
      </c>
      <c r="B607" s="12">
        <f>IFERROR(IF(ISNUMBER(Raw_Data!B607),Raw_Data!B607,DATEVALUE(Raw_Data!B607)),"")</f>
        <v>46205</v>
      </c>
      <c r="C607" t="str">
        <f>PROPER(TRIM(Raw_Data!C607))</f>
        <v>Neha</v>
      </c>
      <c r="D607" t="str">
        <f>IF(TRIM(Raw_Data!D607)="Bangalore","Bengaluru",IF(TRIM(Raw_Data!D607)="Mysore","Mysuru",IF(TRIM(Raw_Data!D607)="Cochin","Kochi",PROPER(TRIM(Raw_Data!D607)))))</f>
        <v>Hyderabad</v>
      </c>
      <c r="E607" t="str">
        <f>PROPER(TRIM(Raw_Data!E607))</f>
        <v>Online</v>
      </c>
      <c r="F607" t="str">
        <f>PROPER(TRIM(Raw_Data!F607))</f>
        <v>Enterprise</v>
      </c>
      <c r="G607" t="str">
        <f>PROPER(TRIM(Raw_Data!G607))</f>
        <v>Mouse</v>
      </c>
      <c r="H607" t="str">
        <f>PROPER(TRIM(Raw_Data!H607))</f>
        <v>Mouse Ergonomic</v>
      </c>
      <c r="I607">
        <f>IFERROR(MAX(0,VALUE(Raw_Data!I607)),0)</f>
        <v>7</v>
      </c>
      <c r="J607" s="13">
        <f>IFERROR(VALUE(Raw_Data!J607),0)</f>
        <v>3257</v>
      </c>
      <c r="K607" s="14">
        <f>IFERROR(VALUE(Raw_Data!K607),0)</f>
        <v>0.15</v>
      </c>
      <c r="L607" t="str">
        <f>PROPER(TRIM(Raw_Data!L607))</f>
        <v>Delivered</v>
      </c>
      <c r="M607" s="13">
        <f t="shared" si="72"/>
        <v>22799</v>
      </c>
      <c r="N607" s="13">
        <f t="shared" si="73"/>
        <v>3419.85</v>
      </c>
      <c r="O607" s="13">
        <f t="shared" si="74"/>
        <v>19379.15</v>
      </c>
      <c r="P607" s="13">
        <f t="shared" si="75"/>
        <v>12539.45</v>
      </c>
      <c r="Q607" s="13">
        <f t="shared" si="76"/>
        <v>6839.7</v>
      </c>
      <c r="R607" s="10">
        <f t="shared" si="77"/>
        <v>0.352941176470588</v>
      </c>
      <c r="S607" t="str">
        <f t="shared" si="78"/>
        <v>Jul-2026</v>
      </c>
      <c r="T607" t="str">
        <f t="shared" si="79"/>
        <v>OK</v>
      </c>
    </row>
    <row r="608" spans="1:20">
      <c r="A608" t="str">
        <f>TRIM(Raw_Data!A608)</f>
        <v>ORD-10607</v>
      </c>
      <c r="B608" s="12">
        <f>IFERROR(IF(ISNUMBER(Raw_Data!B608),Raw_Data!B608,DATEVALUE(Raw_Data!B608)),"")</f>
        <v>46242</v>
      </c>
      <c r="C608" t="str">
        <f>PROPER(TRIM(Raw_Data!C608))</f>
        <v>Asha</v>
      </c>
      <c r="D608" t="str">
        <f>IF(TRIM(Raw_Data!D608)="Bangalore","Bengaluru",IF(TRIM(Raw_Data!D608)="Mysore","Mysuru",IF(TRIM(Raw_Data!D608)="Cochin","Kochi",PROPER(TRIM(Raw_Data!D608)))))</f>
        <v>Pune</v>
      </c>
      <c r="E608" t="str">
        <f>PROPER(TRIM(Raw_Data!E608))</f>
        <v>Corporate</v>
      </c>
      <c r="F608" t="str">
        <f>PROPER(TRIM(Raw_Data!F608))</f>
        <v>Enterprise</v>
      </c>
      <c r="G608" t="str">
        <f>PROPER(TRIM(Raw_Data!G608))</f>
        <v>Monitor</v>
      </c>
      <c r="H608" t="str">
        <f>PROPER(TRIM(Raw_Data!H608))</f>
        <v>Monitor 24</v>
      </c>
      <c r="I608">
        <f>IFERROR(MAX(0,VALUE(Raw_Data!I608)),0)</f>
        <v>7</v>
      </c>
      <c r="J608" s="13">
        <f>IFERROR(VALUE(Raw_Data!J608),0)</f>
        <v>15060</v>
      </c>
      <c r="K608" s="14">
        <f>IFERROR(VALUE(Raw_Data!K608),0)</f>
        <v>0.08</v>
      </c>
      <c r="L608" t="str">
        <f>PROPER(TRIM(Raw_Data!L608))</f>
        <v>Cancelled</v>
      </c>
      <c r="M608" s="13">
        <f t="shared" si="72"/>
        <v>105420</v>
      </c>
      <c r="N608" s="13">
        <f t="shared" si="73"/>
        <v>8433.6</v>
      </c>
      <c r="O608" s="13">
        <f t="shared" si="74"/>
        <v>96986.4</v>
      </c>
      <c r="P608" s="13">
        <f t="shared" si="75"/>
        <v>73794</v>
      </c>
      <c r="Q608" s="13">
        <f t="shared" si="76"/>
        <v>23192.4</v>
      </c>
      <c r="R608" s="10">
        <f t="shared" si="77"/>
        <v>0.239130434782609</v>
      </c>
      <c r="S608" t="str">
        <f t="shared" si="78"/>
        <v>Aug-2026</v>
      </c>
      <c r="T608" t="str">
        <f t="shared" si="79"/>
        <v>OK</v>
      </c>
    </row>
    <row r="609" spans="1:20">
      <c r="A609" t="str">
        <f>TRIM(Raw_Data!A609)</f>
        <v>ORD-10608</v>
      </c>
      <c r="B609" s="12">
        <f>IFERROR(IF(ISNUMBER(Raw_Data!B609),Raw_Data!B609,DATEVALUE(Raw_Data!B609)),"")</f>
        <v>46208</v>
      </c>
      <c r="C609" t="str">
        <f>PROPER(TRIM(Raw_Data!C609))</f>
        <v>Kiran</v>
      </c>
      <c r="D609" t="str">
        <f>IF(TRIM(Raw_Data!D609)="Bangalore","Bengaluru",IF(TRIM(Raw_Data!D609)="Mysore","Mysuru",IF(TRIM(Raw_Data!D609)="Cochin","Kochi",PROPER(TRIM(Raw_Data!D609)))))</f>
        <v>Pune</v>
      </c>
      <c r="E609" t="str">
        <f>PROPER(TRIM(Raw_Data!E609))</f>
        <v>Online</v>
      </c>
      <c r="F609" t="str">
        <f>PROPER(TRIM(Raw_Data!F609))</f>
        <v>Consumer</v>
      </c>
      <c r="G609" t="str">
        <f>PROPER(TRIM(Raw_Data!G609))</f>
        <v>Monitor</v>
      </c>
      <c r="H609" t="str">
        <f>PROPER(TRIM(Raw_Data!H609))</f>
        <v>Monitor 32</v>
      </c>
      <c r="I609">
        <f>IFERROR(MAX(0,VALUE(Raw_Data!I609)),0)</f>
        <v>1</v>
      </c>
      <c r="J609" s="13">
        <f>IFERROR(VALUE(Raw_Data!J609),0)</f>
        <v>20855</v>
      </c>
      <c r="K609" s="14">
        <f>IFERROR(VALUE(Raw_Data!K609),0)</f>
        <v>0.05</v>
      </c>
      <c r="L609" t="str">
        <f>PROPER(TRIM(Raw_Data!L609))</f>
        <v>Delivered</v>
      </c>
      <c r="M609" s="13">
        <f t="shared" si="72"/>
        <v>20855</v>
      </c>
      <c r="N609" s="13">
        <f t="shared" si="73"/>
        <v>1042.75</v>
      </c>
      <c r="O609" s="13">
        <f t="shared" si="74"/>
        <v>19812.25</v>
      </c>
      <c r="P609" s="13">
        <f t="shared" si="75"/>
        <v>14598.5</v>
      </c>
      <c r="Q609" s="13">
        <f t="shared" si="76"/>
        <v>5213.75</v>
      </c>
      <c r="R609" s="10">
        <f t="shared" si="77"/>
        <v>0.263157894736842</v>
      </c>
      <c r="S609" t="str">
        <f t="shared" si="78"/>
        <v>Jul-2026</v>
      </c>
      <c r="T609" t="str">
        <f t="shared" si="79"/>
        <v>OK</v>
      </c>
    </row>
    <row r="610" spans="1:20">
      <c r="A610" t="str">
        <f>TRIM(Raw_Data!A610)</f>
        <v>ORD-10609</v>
      </c>
      <c r="B610" s="12">
        <f>IFERROR(IF(ISNUMBER(Raw_Data!B610),Raw_Data!B610,DATEVALUE(Raw_Data!B610)),"")</f>
        <v>46192</v>
      </c>
      <c r="C610" t="str">
        <f>PROPER(TRIM(Raw_Data!C610))</f>
        <v>Kiran</v>
      </c>
      <c r="D610" t="str">
        <f>IF(TRIM(Raw_Data!D610)="Bangalore","Bengaluru",IF(TRIM(Raw_Data!D610)="Mysore","Mysuru",IF(TRIM(Raw_Data!D610)="Cochin","Kochi",PROPER(TRIM(Raw_Data!D610)))))</f>
        <v>Kochi</v>
      </c>
      <c r="E610" t="str">
        <f>PROPER(TRIM(Raw_Data!E610))</f>
        <v>Online</v>
      </c>
      <c r="F610" t="str">
        <f>PROPER(TRIM(Raw_Data!F610))</f>
        <v>Consumer</v>
      </c>
      <c r="G610" t="str">
        <f>PROPER(TRIM(Raw_Data!G610))</f>
        <v>Keyboard</v>
      </c>
      <c r="H610" t="str">
        <f>PROPER(TRIM(Raw_Data!H610))</f>
        <v>Keyboard Wireless</v>
      </c>
      <c r="I610">
        <f>IFERROR(MAX(0,VALUE(Raw_Data!I610)),0)</f>
        <v>2</v>
      </c>
      <c r="J610" s="13">
        <f>IFERROR(VALUE(Raw_Data!J610),0)</f>
        <v>4023</v>
      </c>
      <c r="K610" s="14">
        <f>IFERROR(VALUE(Raw_Data!K610),0)</f>
        <v>0.02</v>
      </c>
      <c r="L610" t="str">
        <f>PROPER(TRIM(Raw_Data!L610))</f>
        <v>Delivered</v>
      </c>
      <c r="M610" s="13">
        <f t="shared" si="72"/>
        <v>8046</v>
      </c>
      <c r="N610" s="13">
        <f t="shared" si="73"/>
        <v>160.92</v>
      </c>
      <c r="O610" s="13">
        <f t="shared" si="74"/>
        <v>7885.08</v>
      </c>
      <c r="P610" s="13">
        <f t="shared" si="75"/>
        <v>4666.68</v>
      </c>
      <c r="Q610" s="13">
        <f t="shared" si="76"/>
        <v>3218.4</v>
      </c>
      <c r="R610" s="10">
        <f t="shared" si="77"/>
        <v>0.408163265306123</v>
      </c>
      <c r="S610" t="str">
        <f t="shared" si="78"/>
        <v>Jun-2026</v>
      </c>
      <c r="T610" t="str">
        <f t="shared" si="79"/>
        <v>OK</v>
      </c>
    </row>
    <row r="611" spans="1:20">
      <c r="A611" t="str">
        <f>TRIM(Raw_Data!A611)</f>
        <v>ORD-10610</v>
      </c>
      <c r="B611" s="12">
        <f>IFERROR(IF(ISNUMBER(Raw_Data!B611),Raw_Data!B611,DATEVALUE(Raw_Data!B611)),"")</f>
        <v>46226</v>
      </c>
      <c r="C611" t="str">
        <f>PROPER(TRIM(Raw_Data!C611))</f>
        <v>Kiran</v>
      </c>
      <c r="D611" t="str">
        <f>IF(TRIM(Raw_Data!D611)="Bangalore","Bengaluru",IF(TRIM(Raw_Data!D611)="Mysore","Mysuru",IF(TRIM(Raw_Data!D611)="Cochin","Kochi",PROPER(TRIM(Raw_Data!D611)))))</f>
        <v>Mumbai</v>
      </c>
      <c r="E611" t="str">
        <f>PROPER(TRIM(Raw_Data!E611))</f>
        <v>Retail Store</v>
      </c>
      <c r="F611" t="str">
        <f>PROPER(TRIM(Raw_Data!F611))</f>
        <v>Smb</v>
      </c>
      <c r="G611" t="str">
        <f>PROPER(TRIM(Raw_Data!G611))</f>
        <v>Keyboard</v>
      </c>
      <c r="H611" t="str">
        <f>PROPER(TRIM(Raw_Data!H611))</f>
        <v>Keyboard Office</v>
      </c>
      <c r="I611">
        <f>IFERROR(MAX(0,VALUE(Raw_Data!I611)),0)</f>
        <v>1</v>
      </c>
      <c r="J611" s="13">
        <f>IFERROR(VALUE(Raw_Data!J611),0)</f>
        <v>2545</v>
      </c>
      <c r="K611" s="14">
        <f>IFERROR(VALUE(Raw_Data!K611),0)</f>
        <v>0</v>
      </c>
      <c r="L611" t="str">
        <f>PROPER(TRIM(Raw_Data!L611))</f>
        <v>Returned</v>
      </c>
      <c r="M611" s="13">
        <f t="shared" si="72"/>
        <v>2545</v>
      </c>
      <c r="N611" s="13">
        <f t="shared" si="73"/>
        <v>0</v>
      </c>
      <c r="O611" s="13">
        <f t="shared" si="74"/>
        <v>2545</v>
      </c>
      <c r="P611" s="13">
        <f t="shared" si="75"/>
        <v>1476.1</v>
      </c>
      <c r="Q611" s="13">
        <f t="shared" si="76"/>
        <v>1068.9</v>
      </c>
      <c r="R611" s="10">
        <f t="shared" si="77"/>
        <v>0.42</v>
      </c>
      <c r="S611" t="str">
        <f t="shared" si="78"/>
        <v>Jul-2026</v>
      </c>
      <c r="T611" t="str">
        <f t="shared" si="79"/>
        <v>OK</v>
      </c>
    </row>
    <row r="612" spans="1:20">
      <c r="A612" t="str">
        <f>TRIM(Raw_Data!A612)</f>
        <v>ORD-10611</v>
      </c>
      <c r="B612" s="12">
        <f>IFERROR(IF(ISNUMBER(Raw_Data!B612),Raw_Data!B612,DATEVALUE(Raw_Data!B612)),"")</f>
        <v>46035</v>
      </c>
      <c r="C612" t="str">
        <f>PROPER(TRIM(Raw_Data!C612))</f>
        <v>Kiran</v>
      </c>
      <c r="D612" t="str">
        <f>IF(TRIM(Raw_Data!D612)="Bangalore","Bengaluru",IF(TRIM(Raw_Data!D612)="Mysore","Mysuru",IF(TRIM(Raw_Data!D612)="Cochin","Kochi",PROPER(TRIM(Raw_Data!D612)))))</f>
        <v>Bengaluru</v>
      </c>
      <c r="E612" t="str">
        <f>PROPER(TRIM(Raw_Data!E612))</f>
        <v>Corporate</v>
      </c>
      <c r="F612" t="str">
        <f>PROPER(TRIM(Raw_Data!F612))</f>
        <v>Consumer</v>
      </c>
      <c r="G612" t="str">
        <f>PROPER(TRIM(Raw_Data!G612))</f>
        <v>Laptop</v>
      </c>
      <c r="H612" t="str">
        <f>PROPER(TRIM(Raw_Data!H612))</f>
        <v>Laptop Air 13</v>
      </c>
      <c r="I612">
        <f>IFERROR(MAX(0,VALUE(Raw_Data!I612)),0)</f>
        <v>2</v>
      </c>
      <c r="J612" s="13">
        <f>IFERROR(VALUE(Raw_Data!J612),0)</f>
        <v>63300</v>
      </c>
      <c r="K612" s="14">
        <f>IFERROR(VALUE(Raw_Data!K612),0)</f>
        <v>0.15</v>
      </c>
      <c r="L612" t="str">
        <f>PROPER(TRIM(Raw_Data!L612))</f>
        <v>Delivered</v>
      </c>
      <c r="M612" s="13">
        <f t="shared" si="72"/>
        <v>126600</v>
      </c>
      <c r="N612" s="13">
        <f t="shared" si="73"/>
        <v>18990</v>
      </c>
      <c r="O612" s="13">
        <f t="shared" si="74"/>
        <v>107610</v>
      </c>
      <c r="P612" s="13">
        <f t="shared" si="75"/>
        <v>98748</v>
      </c>
      <c r="Q612" s="13">
        <f t="shared" si="76"/>
        <v>8862</v>
      </c>
      <c r="R612" s="10">
        <f t="shared" si="77"/>
        <v>0.0823529411764706</v>
      </c>
      <c r="S612" t="str">
        <f t="shared" si="78"/>
        <v>Jan-2026</v>
      </c>
      <c r="T612" t="str">
        <f t="shared" si="79"/>
        <v>OK</v>
      </c>
    </row>
    <row r="613" spans="1:20">
      <c r="A613" t="str">
        <f>TRIM(Raw_Data!A613)</f>
        <v>ORD-10612</v>
      </c>
      <c r="B613" s="12">
        <f>IFERROR(IF(ISNUMBER(Raw_Data!B613),Raw_Data!B613,DATEVALUE(Raw_Data!B613)),"")</f>
        <v>46176</v>
      </c>
      <c r="C613" t="str">
        <f>PROPER(TRIM(Raw_Data!C613))</f>
        <v>Ravi</v>
      </c>
      <c r="D613" t="str">
        <f>IF(TRIM(Raw_Data!D613)="Bangalore","Bengaluru",IF(TRIM(Raw_Data!D613)="Mysore","Mysuru",IF(TRIM(Raw_Data!D613)="Cochin","Kochi",PROPER(TRIM(Raw_Data!D613)))))</f>
        <v>Hyderabad</v>
      </c>
      <c r="E613" t="str">
        <f>PROPER(TRIM(Raw_Data!E613))</f>
        <v>Corporate</v>
      </c>
      <c r="F613" t="str">
        <f>PROPER(TRIM(Raw_Data!F613))</f>
        <v>Enterprise</v>
      </c>
      <c r="G613" t="str">
        <f>PROPER(TRIM(Raw_Data!G613))</f>
        <v>Keyboard</v>
      </c>
      <c r="H613" t="str">
        <f>PROPER(TRIM(Raw_Data!H613))</f>
        <v>Keyboard Mechanical</v>
      </c>
      <c r="I613">
        <f>IFERROR(MAX(0,VALUE(Raw_Data!I613)),0)</f>
        <v>3</v>
      </c>
      <c r="J613" s="13">
        <f>IFERROR(VALUE(Raw_Data!J613),0)</f>
        <v>0</v>
      </c>
      <c r="K613" s="14">
        <f>IFERROR(VALUE(Raw_Data!K613),0)</f>
        <v>0.1</v>
      </c>
      <c r="L613" t="str">
        <f>PROPER(TRIM(Raw_Data!L613))</f>
        <v>Delivered</v>
      </c>
      <c r="M613" s="13">
        <f t="shared" si="72"/>
        <v>0</v>
      </c>
      <c r="N613" s="13">
        <f t="shared" si="73"/>
        <v>0</v>
      </c>
      <c r="O613" s="13">
        <f t="shared" si="74"/>
        <v>0</v>
      </c>
      <c r="P613" s="13">
        <f t="shared" si="75"/>
        <v>0</v>
      </c>
      <c r="Q613" s="13">
        <f t="shared" si="76"/>
        <v>0</v>
      </c>
      <c r="R613" s="10">
        <f t="shared" si="77"/>
        <v>0</v>
      </c>
      <c r="S613" t="str">
        <f t="shared" si="78"/>
        <v>Jun-2026</v>
      </c>
      <c r="T613" t="str">
        <f t="shared" si="79"/>
        <v>CHECK</v>
      </c>
    </row>
    <row r="614" spans="1:20">
      <c r="A614" t="str">
        <f>TRIM(Raw_Data!A614)</f>
        <v>ORD-10613</v>
      </c>
      <c r="B614" s="12">
        <f>IFERROR(IF(ISNUMBER(Raw_Data!B614),Raw_Data!B614,DATEVALUE(Raw_Data!B614)),"")</f>
        <v>46090</v>
      </c>
      <c r="C614" t="str">
        <f>PROPER(TRIM(Raw_Data!C614))</f>
        <v>Meghana</v>
      </c>
      <c r="D614" t="str">
        <f>IF(TRIM(Raw_Data!D614)="Bangalore","Bengaluru",IF(TRIM(Raw_Data!D614)="Mysore","Mysuru",IF(TRIM(Raw_Data!D614)="Cochin","Kochi",PROPER(TRIM(Raw_Data!D614)))))</f>
        <v>Pune</v>
      </c>
      <c r="E614" t="str">
        <f>PROPER(TRIM(Raw_Data!E614))</f>
        <v>Online</v>
      </c>
      <c r="F614" t="str">
        <f>PROPER(TRIM(Raw_Data!F614))</f>
        <v>Smb</v>
      </c>
      <c r="G614" t="str">
        <f>PROPER(TRIM(Raw_Data!G614))</f>
        <v>Laptop</v>
      </c>
      <c r="H614" t="str">
        <f>PROPER(TRIM(Raw_Data!H614))</f>
        <v>Laptop Pro 14</v>
      </c>
      <c r="I614">
        <f>IFERROR(MAX(0,VALUE(Raw_Data!I614)),0)</f>
        <v>6</v>
      </c>
      <c r="J614" s="13">
        <f>IFERROR(VALUE(Raw_Data!J614),0)</f>
        <v>0</v>
      </c>
      <c r="K614" s="14">
        <f>IFERROR(VALUE(Raw_Data!K614),0)</f>
        <v>0.05</v>
      </c>
      <c r="L614" t="str">
        <f>PROPER(TRIM(Raw_Data!L614))</f>
        <v>Returned</v>
      </c>
      <c r="M614" s="13">
        <f t="shared" si="72"/>
        <v>0</v>
      </c>
      <c r="N614" s="13">
        <f t="shared" si="73"/>
        <v>0</v>
      </c>
      <c r="O614" s="13">
        <f t="shared" si="74"/>
        <v>0</v>
      </c>
      <c r="P614" s="13">
        <f t="shared" si="75"/>
        <v>0</v>
      </c>
      <c r="Q614" s="13">
        <f t="shared" si="76"/>
        <v>0</v>
      </c>
      <c r="R614" s="10">
        <f t="shared" si="77"/>
        <v>0</v>
      </c>
      <c r="S614" t="str">
        <f t="shared" si="78"/>
        <v>Mar-2026</v>
      </c>
      <c r="T614" t="str">
        <f t="shared" si="79"/>
        <v>CHECK</v>
      </c>
    </row>
    <row r="615" spans="1:20">
      <c r="A615" t="str">
        <f>TRIM(Raw_Data!A615)</f>
        <v>ORD-10614</v>
      </c>
      <c r="B615" s="12">
        <f>IFERROR(IF(ISNUMBER(Raw_Data!B615),Raw_Data!B615,DATEVALUE(Raw_Data!B615)),"")</f>
        <v>46215</v>
      </c>
      <c r="C615" t="str">
        <f>PROPER(TRIM(Raw_Data!C615))</f>
        <v>Neha</v>
      </c>
      <c r="D615" t="str">
        <f>IF(TRIM(Raw_Data!D615)="Bangalore","Bengaluru",IF(TRIM(Raw_Data!D615)="Mysore","Mysuru",IF(TRIM(Raw_Data!D615)="Cochin","Kochi",PROPER(TRIM(Raw_Data!D615)))))</f>
        <v>Delhi</v>
      </c>
      <c r="E615" t="str">
        <f>PROPER(TRIM(Raw_Data!E615))</f>
        <v>Retail Store</v>
      </c>
      <c r="F615" t="str">
        <f>PROPER(TRIM(Raw_Data!F615))</f>
        <v>Consumer</v>
      </c>
      <c r="G615" t="str">
        <f>PROPER(TRIM(Raw_Data!G615))</f>
        <v>Mouse</v>
      </c>
      <c r="H615" t="str">
        <f>PROPER(TRIM(Raw_Data!H615))</f>
        <v>Mouse Wireless</v>
      </c>
      <c r="I615">
        <f>IFERROR(MAX(0,VALUE(Raw_Data!I615)),0)</f>
        <v>6</v>
      </c>
      <c r="J615" s="13">
        <f>IFERROR(VALUE(Raw_Data!J615),0)</f>
        <v>2936</v>
      </c>
      <c r="K615" s="14">
        <f>IFERROR(VALUE(Raw_Data!K615),0)</f>
        <v>0.08</v>
      </c>
      <c r="L615" t="str">
        <f>PROPER(TRIM(Raw_Data!L615))</f>
        <v>Delivered</v>
      </c>
      <c r="M615" s="13">
        <f t="shared" si="72"/>
        <v>17616</v>
      </c>
      <c r="N615" s="13">
        <f t="shared" si="73"/>
        <v>1409.28</v>
      </c>
      <c r="O615" s="13">
        <f t="shared" si="74"/>
        <v>16206.72</v>
      </c>
      <c r="P615" s="13">
        <f t="shared" si="75"/>
        <v>9688.8</v>
      </c>
      <c r="Q615" s="13">
        <f t="shared" si="76"/>
        <v>6517.92</v>
      </c>
      <c r="R615" s="10">
        <f t="shared" si="77"/>
        <v>0.402173913043478</v>
      </c>
      <c r="S615" t="str">
        <f t="shared" si="78"/>
        <v>Jul-2026</v>
      </c>
      <c r="T615" t="str">
        <f t="shared" si="79"/>
        <v>OK</v>
      </c>
    </row>
    <row r="616" spans="1:20">
      <c r="A616" t="str">
        <f>TRIM(Raw_Data!A616)</f>
        <v>ORD-10615</v>
      </c>
      <c r="B616" s="12">
        <f>IFERROR(IF(ISNUMBER(Raw_Data!B616),Raw_Data!B616,DATEVALUE(Raw_Data!B616)),"")</f>
        <v>46093</v>
      </c>
      <c r="C616" t="str">
        <f>PROPER(TRIM(Raw_Data!C616))</f>
        <v>Neha</v>
      </c>
      <c r="D616" t="str">
        <f>IF(TRIM(Raw_Data!D616)="Bangalore","Bengaluru",IF(TRIM(Raw_Data!D616)="Mysore","Mysuru",IF(TRIM(Raw_Data!D616)="Cochin","Kochi",PROPER(TRIM(Raw_Data!D616)))))</f>
        <v>Pune</v>
      </c>
      <c r="E616" t="str">
        <f>PROPER(TRIM(Raw_Data!E616))</f>
        <v>Corporate</v>
      </c>
      <c r="F616" t="str">
        <f>PROPER(TRIM(Raw_Data!F616))</f>
        <v>Smb</v>
      </c>
      <c r="G616" t="str">
        <f>PROPER(TRIM(Raw_Data!G616))</f>
        <v>Keyboard</v>
      </c>
      <c r="H616" t="str">
        <f>PROPER(TRIM(Raw_Data!H616))</f>
        <v>Keyboard Wireless</v>
      </c>
      <c r="I616">
        <f>IFERROR(MAX(0,VALUE(Raw_Data!I616)),0)</f>
        <v>8</v>
      </c>
      <c r="J616" s="13">
        <f>IFERROR(VALUE(Raw_Data!J616),0)</f>
        <v>3249</v>
      </c>
      <c r="K616" s="14">
        <f>IFERROR(VALUE(Raw_Data!K616),0)</f>
        <v>0.1</v>
      </c>
      <c r="L616" t="str">
        <f>PROPER(TRIM(Raw_Data!L616))</f>
        <v>Delivered</v>
      </c>
      <c r="M616" s="13">
        <f t="shared" si="72"/>
        <v>25992</v>
      </c>
      <c r="N616" s="13">
        <f t="shared" si="73"/>
        <v>2599.2</v>
      </c>
      <c r="O616" s="13">
        <f t="shared" si="74"/>
        <v>23392.8</v>
      </c>
      <c r="P616" s="13">
        <f t="shared" si="75"/>
        <v>15075.36</v>
      </c>
      <c r="Q616" s="13">
        <f t="shared" si="76"/>
        <v>8317.44</v>
      </c>
      <c r="R616" s="10">
        <f t="shared" si="77"/>
        <v>0.355555555555556</v>
      </c>
      <c r="S616" t="str">
        <f t="shared" si="78"/>
        <v>Mar-2026</v>
      </c>
      <c r="T616" t="str">
        <f t="shared" si="79"/>
        <v>OK</v>
      </c>
    </row>
    <row r="617" spans="1:20">
      <c r="A617" t="str">
        <f>TRIM(Raw_Data!A617)</f>
        <v>ORD-10616</v>
      </c>
      <c r="B617" s="12">
        <f>IFERROR(IF(ISNUMBER(Raw_Data!B617),Raw_Data!B617,DATEVALUE(Raw_Data!B617)),"")</f>
        <v>46155</v>
      </c>
      <c r="C617" t="str">
        <f>PROPER(TRIM(Raw_Data!C617))</f>
        <v>Arjun</v>
      </c>
      <c r="D617" t="str">
        <f>IF(TRIM(Raw_Data!D617)="Bangalore","Bengaluru",IF(TRIM(Raw_Data!D617)="Mysore","Mysuru",IF(TRIM(Raw_Data!D617)="Cochin","Kochi",PROPER(TRIM(Raw_Data!D617)))))</f>
        <v>New Delhi</v>
      </c>
      <c r="E617" t="str">
        <f>PROPER(TRIM(Raw_Data!E617))</f>
        <v>Corporate</v>
      </c>
      <c r="F617" t="str">
        <f>PROPER(TRIM(Raw_Data!F617))</f>
        <v>Consumer</v>
      </c>
      <c r="G617" t="str">
        <f>PROPER(TRIM(Raw_Data!G617))</f>
        <v>Mouse</v>
      </c>
      <c r="H617" t="str">
        <f>PROPER(TRIM(Raw_Data!H617))</f>
        <v>Mouse Wireless</v>
      </c>
      <c r="I617">
        <f>IFERROR(MAX(0,VALUE(Raw_Data!I617)),0)</f>
        <v>4</v>
      </c>
      <c r="J617" s="13">
        <f>IFERROR(VALUE(Raw_Data!J617),0)</f>
        <v>2444</v>
      </c>
      <c r="K617" s="14">
        <f>IFERROR(VALUE(Raw_Data!K617),0)</f>
        <v>0</v>
      </c>
      <c r="L617" t="str">
        <f>PROPER(TRIM(Raw_Data!L617))</f>
        <v>Cancelled</v>
      </c>
      <c r="M617" s="13">
        <f t="shared" si="72"/>
        <v>9776</v>
      </c>
      <c r="N617" s="13">
        <f t="shared" si="73"/>
        <v>0</v>
      </c>
      <c r="O617" s="13">
        <f t="shared" si="74"/>
        <v>9776</v>
      </c>
      <c r="P617" s="13">
        <f t="shared" si="75"/>
        <v>5376.8</v>
      </c>
      <c r="Q617" s="13">
        <f t="shared" si="76"/>
        <v>4399.2</v>
      </c>
      <c r="R617" s="10">
        <f t="shared" si="77"/>
        <v>0.45</v>
      </c>
      <c r="S617" t="str">
        <f t="shared" si="78"/>
        <v>May-2026</v>
      </c>
      <c r="T617" t="str">
        <f t="shared" si="79"/>
        <v>OK</v>
      </c>
    </row>
    <row r="618" spans="1:20">
      <c r="A618" t="str">
        <f>TRIM(Raw_Data!A618)</f>
        <v>ORD-10617</v>
      </c>
      <c r="B618" s="12">
        <f>IFERROR(IF(ISNUMBER(Raw_Data!B618),Raw_Data!B618,DATEVALUE(Raw_Data!B618)),"")</f>
        <v>46253</v>
      </c>
      <c r="C618" t="str">
        <f>PROPER(TRIM(Raw_Data!C618))</f>
        <v>Priya</v>
      </c>
      <c r="D618" t="str">
        <f>IF(TRIM(Raw_Data!D618)="Bangalore","Bengaluru",IF(TRIM(Raw_Data!D618)="Mysore","Mysuru",IF(TRIM(Raw_Data!D618)="Cochin","Kochi",PROPER(TRIM(Raw_Data!D618)))))</f>
        <v>Hyderabad</v>
      </c>
      <c r="E618" t="str">
        <f>PROPER(TRIM(Raw_Data!E618))</f>
        <v>Corporate</v>
      </c>
      <c r="F618" t="str">
        <f>PROPER(TRIM(Raw_Data!F618))</f>
        <v>Enterprise</v>
      </c>
      <c r="G618" t="str">
        <f>PROPER(TRIM(Raw_Data!G618))</f>
        <v>Mouse</v>
      </c>
      <c r="H618" t="str">
        <f>PROPER(TRIM(Raw_Data!H618))</f>
        <v>Mouse Basic</v>
      </c>
      <c r="I618">
        <f>IFERROR(MAX(0,VALUE(Raw_Data!I618)),0)</f>
        <v>3</v>
      </c>
      <c r="J618" s="13">
        <f>IFERROR(VALUE(Raw_Data!J618),0)</f>
        <v>2240</v>
      </c>
      <c r="K618" s="14">
        <f>IFERROR(VALUE(Raw_Data!K618),0)</f>
        <v>0</v>
      </c>
      <c r="L618" t="str">
        <f>PROPER(TRIM(Raw_Data!L618))</f>
        <v>Returned</v>
      </c>
      <c r="M618" s="13">
        <f t="shared" si="72"/>
        <v>6720</v>
      </c>
      <c r="N618" s="13">
        <f t="shared" si="73"/>
        <v>0</v>
      </c>
      <c r="O618" s="13">
        <f t="shared" si="74"/>
        <v>6720</v>
      </c>
      <c r="P618" s="13">
        <f t="shared" si="75"/>
        <v>3696</v>
      </c>
      <c r="Q618" s="13">
        <f t="shared" si="76"/>
        <v>3024</v>
      </c>
      <c r="R618" s="10">
        <f t="shared" si="77"/>
        <v>0.45</v>
      </c>
      <c r="S618" t="str">
        <f t="shared" si="78"/>
        <v>Aug-2026</v>
      </c>
      <c r="T618" t="str">
        <f t="shared" si="79"/>
        <v>OK</v>
      </c>
    </row>
    <row r="619" spans="1:20">
      <c r="A619" t="str">
        <f>TRIM(Raw_Data!A619)</f>
        <v>ORD-10618</v>
      </c>
      <c r="B619" s="12">
        <f>IFERROR(IF(ISNUMBER(Raw_Data!B619),Raw_Data!B619,DATEVALUE(Raw_Data!B619)),"")</f>
        <v>46041</v>
      </c>
      <c r="C619" t="str">
        <f>PROPER(TRIM(Raw_Data!C619))</f>
        <v>Bhoomika</v>
      </c>
      <c r="D619" t="str">
        <f>IF(TRIM(Raw_Data!D619)="Bangalore","Bengaluru",IF(TRIM(Raw_Data!D619)="Mysore","Mysuru",IF(TRIM(Raw_Data!D619)="Cochin","Kochi",PROPER(TRIM(Raw_Data!D619)))))</f>
        <v>Hyderabad</v>
      </c>
      <c r="E619" t="str">
        <f>PROPER(TRIM(Raw_Data!E619))</f>
        <v>Corporate</v>
      </c>
      <c r="F619" t="str">
        <f>PROPER(TRIM(Raw_Data!F619))</f>
        <v>Consumer</v>
      </c>
      <c r="G619" t="str">
        <f>PROPER(TRIM(Raw_Data!G619))</f>
        <v>Headset</v>
      </c>
      <c r="H619" t="str">
        <f>PROPER(TRIM(Raw_Data!H619))</f>
        <v>Headset Office</v>
      </c>
      <c r="I619">
        <f>IFERROR(MAX(0,VALUE(Raw_Data!I619)),0)</f>
        <v>7</v>
      </c>
      <c r="J619" s="13">
        <f>IFERROR(VALUE(Raw_Data!J619),0)</f>
        <v>6151</v>
      </c>
      <c r="K619" s="14">
        <f>IFERROR(VALUE(Raw_Data!K619),0)</f>
        <v>0.08</v>
      </c>
      <c r="L619" t="str">
        <f>PROPER(TRIM(Raw_Data!L619))</f>
        <v>Cancelled</v>
      </c>
      <c r="M619" s="13">
        <f t="shared" si="72"/>
        <v>43057</v>
      </c>
      <c r="N619" s="13">
        <f t="shared" si="73"/>
        <v>3444.56</v>
      </c>
      <c r="O619" s="13">
        <f t="shared" si="74"/>
        <v>39612.44</v>
      </c>
      <c r="P619" s="13">
        <f t="shared" si="75"/>
        <v>25834.2</v>
      </c>
      <c r="Q619" s="13">
        <f t="shared" si="76"/>
        <v>13778.24</v>
      </c>
      <c r="R619" s="10">
        <f t="shared" si="77"/>
        <v>0.347826086956522</v>
      </c>
      <c r="S619" t="str">
        <f t="shared" si="78"/>
        <v>Jan-2026</v>
      </c>
      <c r="T619" t="str">
        <f t="shared" si="79"/>
        <v>OK</v>
      </c>
    </row>
    <row r="620" spans="1:20">
      <c r="A620" t="str">
        <f>TRIM(Raw_Data!A620)</f>
        <v>ORD-10619</v>
      </c>
      <c r="B620" s="12">
        <f>IFERROR(IF(ISNUMBER(Raw_Data!B620),Raw_Data!B620,DATEVALUE(Raw_Data!B620)),"")</f>
        <v>46238</v>
      </c>
      <c r="C620" t="str">
        <f>PROPER(TRIM(Raw_Data!C620))</f>
        <v>Ravi</v>
      </c>
      <c r="D620" t="str">
        <f>IF(TRIM(Raw_Data!D620)="Bangalore","Bengaluru",IF(TRIM(Raw_Data!D620)="Mysore","Mysuru",IF(TRIM(Raw_Data!D620)="Cochin","Kochi",PROPER(TRIM(Raw_Data!D620)))))</f>
        <v>Mumbai</v>
      </c>
      <c r="E620" t="str">
        <f>PROPER(TRIM(Raw_Data!E620))</f>
        <v>Retail Store</v>
      </c>
      <c r="F620" t="str">
        <f>PROPER(TRIM(Raw_Data!F620))</f>
        <v>Consumer</v>
      </c>
      <c r="G620" t="str">
        <f>PROPER(TRIM(Raw_Data!G620))</f>
        <v>Headset</v>
      </c>
      <c r="H620" t="str">
        <f>PROPER(TRIM(Raw_Data!H620))</f>
        <v>Headset Wireless</v>
      </c>
      <c r="I620">
        <f>IFERROR(MAX(0,VALUE(Raw_Data!I620)),0)</f>
        <v>6</v>
      </c>
      <c r="J620" s="13">
        <f>IFERROR(VALUE(Raw_Data!J620),0)</f>
        <v>6461</v>
      </c>
      <c r="K620" s="14">
        <f>IFERROR(VALUE(Raw_Data!K620),0)</f>
        <v>0.15</v>
      </c>
      <c r="L620" t="str">
        <f>PROPER(TRIM(Raw_Data!L620))</f>
        <v>Cancelled</v>
      </c>
      <c r="M620" s="13">
        <f t="shared" si="72"/>
        <v>38766</v>
      </c>
      <c r="N620" s="13">
        <f t="shared" si="73"/>
        <v>5814.9</v>
      </c>
      <c r="O620" s="13">
        <f t="shared" si="74"/>
        <v>32951.1</v>
      </c>
      <c r="P620" s="13">
        <f t="shared" si="75"/>
        <v>23259.6</v>
      </c>
      <c r="Q620" s="13">
        <f t="shared" si="76"/>
        <v>9691.5</v>
      </c>
      <c r="R620" s="10">
        <f t="shared" si="77"/>
        <v>0.294117647058824</v>
      </c>
      <c r="S620" t="str">
        <f t="shared" si="78"/>
        <v>Aug-2026</v>
      </c>
      <c r="T620" t="str">
        <f t="shared" si="79"/>
        <v>OK</v>
      </c>
    </row>
    <row r="621" spans="1:20">
      <c r="A621" t="str">
        <f>TRIM(Raw_Data!A621)</f>
        <v>ORD-10620</v>
      </c>
      <c r="B621" s="12">
        <f>IFERROR(IF(ISNUMBER(Raw_Data!B621),Raw_Data!B621,DATEVALUE(Raw_Data!B621)),"")</f>
        <v>46073</v>
      </c>
      <c r="C621" t="str">
        <f>PROPER(TRIM(Raw_Data!C621))</f>
        <v>Neha</v>
      </c>
      <c r="D621" t="str">
        <f>IF(TRIM(Raw_Data!D621)="Bangalore","Bengaluru",IF(TRIM(Raw_Data!D621)="Mysore","Mysuru",IF(TRIM(Raw_Data!D621)="Cochin","Kochi",PROPER(TRIM(Raw_Data!D621)))))</f>
        <v>Hydrabad</v>
      </c>
      <c r="E621" t="str">
        <f>PROPER(TRIM(Raw_Data!E621))</f>
        <v>Retail Store</v>
      </c>
      <c r="F621" t="str">
        <f>PROPER(TRIM(Raw_Data!F621))</f>
        <v>Consumer</v>
      </c>
      <c r="G621" t="str">
        <f>PROPER(TRIM(Raw_Data!G621))</f>
        <v>Headset</v>
      </c>
      <c r="H621" t="str">
        <f>PROPER(TRIM(Raw_Data!H621))</f>
        <v>Headset Office</v>
      </c>
      <c r="I621">
        <f>IFERROR(MAX(0,VALUE(Raw_Data!I621)),0)</f>
        <v>2</v>
      </c>
      <c r="J621" s="13">
        <f>IFERROR(VALUE(Raw_Data!J621),0)</f>
        <v>2138</v>
      </c>
      <c r="K621" s="14">
        <f>IFERROR(VALUE(Raw_Data!K621),0)</f>
        <v>0.15</v>
      </c>
      <c r="L621" t="str">
        <f>PROPER(TRIM(Raw_Data!L621))</f>
        <v>Returned</v>
      </c>
      <c r="M621" s="13">
        <f t="shared" si="72"/>
        <v>4276</v>
      </c>
      <c r="N621" s="13">
        <f t="shared" si="73"/>
        <v>641.4</v>
      </c>
      <c r="O621" s="13">
        <f t="shared" si="74"/>
        <v>3634.6</v>
      </c>
      <c r="P621" s="13">
        <f t="shared" si="75"/>
        <v>2565.6</v>
      </c>
      <c r="Q621" s="13">
        <f t="shared" si="76"/>
        <v>1069</v>
      </c>
      <c r="R621" s="10">
        <f t="shared" si="77"/>
        <v>0.294117647058824</v>
      </c>
      <c r="S621" t="str">
        <f t="shared" si="78"/>
        <v>Feb-2026</v>
      </c>
      <c r="T621" t="str">
        <f t="shared" si="79"/>
        <v>OK</v>
      </c>
    </row>
    <row r="622" spans="1:20">
      <c r="A622" t="str">
        <f>TRIM(Raw_Data!A622)</f>
        <v>ORD-10621</v>
      </c>
      <c r="B622" s="12">
        <f>IFERROR(IF(ISNUMBER(Raw_Data!B622),Raw_Data!B622,DATEVALUE(Raw_Data!B622)),"")</f>
        <v>46214</v>
      </c>
      <c r="C622" t="str">
        <f>PROPER(TRIM(Raw_Data!C622))</f>
        <v>Asha</v>
      </c>
      <c r="D622" t="str">
        <f>IF(TRIM(Raw_Data!D622)="Bangalore","Bengaluru",IF(TRIM(Raw_Data!D622)="Mysore","Mysuru",IF(TRIM(Raw_Data!D622)="Cochin","Kochi",PROPER(TRIM(Raw_Data!D622)))))</f>
        <v>New Delhi</v>
      </c>
      <c r="E622" t="str">
        <f>PROPER(TRIM(Raw_Data!E622))</f>
        <v>Retail Store</v>
      </c>
      <c r="F622" t="str">
        <f>PROPER(TRIM(Raw_Data!F622))</f>
        <v>Consumer</v>
      </c>
      <c r="G622" t="str">
        <f>PROPER(TRIM(Raw_Data!G622))</f>
        <v>Laptop</v>
      </c>
      <c r="H622" t="str">
        <f>PROPER(TRIM(Raw_Data!H622))</f>
        <v>Business Laptop 15</v>
      </c>
      <c r="I622">
        <f>IFERROR(MAX(0,VALUE(Raw_Data!I622)),0)</f>
        <v>4</v>
      </c>
      <c r="J622" s="13">
        <f>IFERROR(VALUE(Raw_Data!J622),0)</f>
        <v>79366</v>
      </c>
      <c r="K622" s="14">
        <f>IFERROR(VALUE(Raw_Data!K622),0)</f>
        <v>0.05</v>
      </c>
      <c r="L622" t="str">
        <f>PROPER(TRIM(Raw_Data!L622))</f>
        <v>Delivered</v>
      </c>
      <c r="M622" s="13">
        <f t="shared" si="72"/>
        <v>317464</v>
      </c>
      <c r="N622" s="13">
        <f t="shared" si="73"/>
        <v>15873.2</v>
      </c>
      <c r="O622" s="13">
        <f t="shared" si="74"/>
        <v>301590.8</v>
      </c>
      <c r="P622" s="13">
        <f t="shared" si="75"/>
        <v>247621.92</v>
      </c>
      <c r="Q622" s="13">
        <f t="shared" si="76"/>
        <v>53968.88</v>
      </c>
      <c r="R622" s="10">
        <f t="shared" si="77"/>
        <v>0.178947368421053</v>
      </c>
      <c r="S622" t="str">
        <f t="shared" si="78"/>
        <v>Jul-2026</v>
      </c>
      <c r="T622" t="str">
        <f t="shared" si="79"/>
        <v>OK</v>
      </c>
    </row>
    <row r="623" spans="1:20">
      <c r="A623" t="str">
        <f>TRIM(Raw_Data!A623)</f>
        <v>ORD-10622</v>
      </c>
      <c r="B623" s="12">
        <f>IFERROR(IF(ISNUMBER(Raw_Data!B623),Raw_Data!B623,DATEVALUE(Raw_Data!B623)),"")</f>
        <v>46118</v>
      </c>
      <c r="C623" t="str">
        <f>PROPER(TRIM(Raw_Data!C623))</f>
        <v>Bhoomika</v>
      </c>
      <c r="D623" t="str">
        <f>IF(TRIM(Raw_Data!D623)="Bangalore","Bengaluru",IF(TRIM(Raw_Data!D623)="Mysore","Mysuru",IF(TRIM(Raw_Data!D623)="Cochin","Kochi",PROPER(TRIM(Raw_Data!D623)))))</f>
        <v>Hyderabad</v>
      </c>
      <c r="E623" t="str">
        <f>PROPER(TRIM(Raw_Data!E623))</f>
        <v>Online</v>
      </c>
      <c r="F623" t="str">
        <f>PROPER(TRIM(Raw_Data!F623))</f>
        <v>Consumer</v>
      </c>
      <c r="G623" t="str">
        <f>PROPER(TRIM(Raw_Data!G623))</f>
        <v>Keyboard</v>
      </c>
      <c r="H623" t="str">
        <f>PROPER(TRIM(Raw_Data!H623))</f>
        <v>Keyboard Mechanical</v>
      </c>
      <c r="I623">
        <f>IFERROR(MAX(0,VALUE(Raw_Data!I623)),0)</f>
        <v>4</v>
      </c>
      <c r="J623" s="13">
        <f>IFERROR(VALUE(Raw_Data!J623),0)</f>
        <v>4973</v>
      </c>
      <c r="K623" s="14">
        <f>IFERROR(VALUE(Raw_Data!K623),0)</f>
        <v>0.02</v>
      </c>
      <c r="L623" t="str">
        <f>PROPER(TRIM(Raw_Data!L623))</f>
        <v>Delivered</v>
      </c>
      <c r="M623" s="13">
        <f t="shared" si="72"/>
        <v>19892</v>
      </c>
      <c r="N623" s="13">
        <f t="shared" si="73"/>
        <v>397.84</v>
      </c>
      <c r="O623" s="13">
        <f t="shared" si="74"/>
        <v>19494.16</v>
      </c>
      <c r="P623" s="13">
        <f t="shared" si="75"/>
        <v>11537.36</v>
      </c>
      <c r="Q623" s="13">
        <f t="shared" si="76"/>
        <v>7956.8</v>
      </c>
      <c r="R623" s="10">
        <f t="shared" si="77"/>
        <v>0.408163265306123</v>
      </c>
      <c r="S623" t="str">
        <f t="shared" si="78"/>
        <v>Apr-2026</v>
      </c>
      <c r="T623" t="str">
        <f t="shared" si="79"/>
        <v>OK</v>
      </c>
    </row>
    <row r="624" spans="1:20">
      <c r="A624" t="str">
        <f>TRIM(Raw_Data!A624)</f>
        <v>ORD-10623</v>
      </c>
      <c r="B624" s="12">
        <f>IFERROR(IF(ISNUMBER(Raw_Data!B624),Raw_Data!B624,DATEVALUE(Raw_Data!B624)),"")</f>
        <v>46049</v>
      </c>
      <c r="C624" t="str">
        <f>PROPER(TRIM(Raw_Data!C624))</f>
        <v>Arjun</v>
      </c>
      <c r="D624" t="str">
        <f>IF(TRIM(Raw_Data!D624)="Bangalore","Bengaluru",IF(TRIM(Raw_Data!D624)="Mysore","Mysuru",IF(TRIM(Raw_Data!D624)="Cochin","Kochi",PROPER(TRIM(Raw_Data!D624)))))</f>
        <v>Hyderabad</v>
      </c>
      <c r="E624" t="str">
        <f>PROPER(TRIM(Raw_Data!E624))</f>
        <v>Online</v>
      </c>
      <c r="F624" t="str">
        <f>PROPER(TRIM(Raw_Data!F624))</f>
        <v>Consumer</v>
      </c>
      <c r="G624" t="str">
        <f>PROPER(TRIM(Raw_Data!G624))</f>
        <v>Keyboard</v>
      </c>
      <c r="H624" t="str">
        <f>PROPER(TRIM(Raw_Data!H624))</f>
        <v>Keyboard Mechanical</v>
      </c>
      <c r="I624">
        <f>IFERROR(MAX(0,VALUE(Raw_Data!I624)),0)</f>
        <v>6</v>
      </c>
      <c r="J624" s="13">
        <f>IFERROR(VALUE(Raw_Data!J624),0)</f>
        <v>3885</v>
      </c>
      <c r="K624" s="14">
        <f>IFERROR(VALUE(Raw_Data!K624),0)</f>
        <v>0.15</v>
      </c>
      <c r="L624" t="str">
        <f>PROPER(TRIM(Raw_Data!L624))</f>
        <v>Pending</v>
      </c>
      <c r="M624" s="13">
        <f t="shared" si="72"/>
        <v>23310</v>
      </c>
      <c r="N624" s="13">
        <f t="shared" si="73"/>
        <v>3496.5</v>
      </c>
      <c r="O624" s="13">
        <f t="shared" si="74"/>
        <v>19813.5</v>
      </c>
      <c r="P624" s="13">
        <f t="shared" si="75"/>
        <v>13519.8</v>
      </c>
      <c r="Q624" s="13">
        <f t="shared" si="76"/>
        <v>6293.7</v>
      </c>
      <c r="R624" s="10">
        <f t="shared" si="77"/>
        <v>0.317647058823529</v>
      </c>
      <c r="S624" t="str">
        <f t="shared" si="78"/>
        <v>Jan-2026</v>
      </c>
      <c r="T624" t="str">
        <f t="shared" si="79"/>
        <v>OK</v>
      </c>
    </row>
    <row r="625" spans="1:20">
      <c r="A625" t="str">
        <f>TRIM(Raw_Data!A625)</f>
        <v>ORD-10624</v>
      </c>
      <c r="B625" s="12">
        <f>IFERROR(IF(ISNUMBER(Raw_Data!B625),Raw_Data!B625,DATEVALUE(Raw_Data!B625)),"")</f>
        <v>46204</v>
      </c>
      <c r="C625" t="str">
        <f>PROPER(TRIM(Raw_Data!C625))</f>
        <v>Neha</v>
      </c>
      <c r="D625" t="str">
        <f>IF(TRIM(Raw_Data!D625)="Bangalore","Bengaluru",IF(TRIM(Raw_Data!D625)="Mysore","Mysuru",IF(TRIM(Raw_Data!D625)="Cochin","Kochi",PROPER(TRIM(Raw_Data!D625)))))</f>
        <v>Delhi</v>
      </c>
      <c r="E625" t="str">
        <f>PROPER(TRIM(Raw_Data!E625))</f>
        <v>Retail Store</v>
      </c>
      <c r="F625" t="str">
        <f>PROPER(TRIM(Raw_Data!F625))</f>
        <v>Smb</v>
      </c>
      <c r="G625" t="str">
        <f>PROPER(TRIM(Raw_Data!G625))</f>
        <v>Mouse</v>
      </c>
      <c r="H625" t="str">
        <f>PROPER(TRIM(Raw_Data!H625))</f>
        <v>Mouse Ergonomic</v>
      </c>
      <c r="I625">
        <f>IFERROR(MAX(0,VALUE(Raw_Data!I625)),0)</f>
        <v>6</v>
      </c>
      <c r="J625" s="13">
        <f>IFERROR(VALUE(Raw_Data!J625),0)</f>
        <v>1776</v>
      </c>
      <c r="K625" s="14">
        <f>IFERROR(VALUE(Raw_Data!K625),0)</f>
        <v>0</v>
      </c>
      <c r="L625" t="str">
        <f>PROPER(TRIM(Raw_Data!L625))</f>
        <v>Cancelled</v>
      </c>
      <c r="M625" s="13">
        <f t="shared" si="72"/>
        <v>10656</v>
      </c>
      <c r="N625" s="13">
        <f t="shared" si="73"/>
        <v>0</v>
      </c>
      <c r="O625" s="13">
        <f t="shared" si="74"/>
        <v>10656</v>
      </c>
      <c r="P625" s="13">
        <f t="shared" si="75"/>
        <v>5860.8</v>
      </c>
      <c r="Q625" s="13">
        <f t="shared" si="76"/>
        <v>4795.2</v>
      </c>
      <c r="R625" s="10">
        <f t="shared" si="77"/>
        <v>0.45</v>
      </c>
      <c r="S625" t="str">
        <f t="shared" si="78"/>
        <v>Jul-2026</v>
      </c>
      <c r="T625" t="str">
        <f t="shared" si="79"/>
        <v>OK</v>
      </c>
    </row>
    <row r="626" spans="1:20">
      <c r="A626" t="str">
        <f>TRIM(Raw_Data!A626)</f>
        <v>ORD-10625</v>
      </c>
      <c r="B626" s="12">
        <f>IFERROR(IF(ISNUMBER(Raw_Data!B626),Raw_Data!B626,DATEVALUE(Raw_Data!B626)),"")</f>
        <v>46065</v>
      </c>
      <c r="C626" t="str">
        <f>PROPER(TRIM(Raw_Data!C626))</f>
        <v>Arjun</v>
      </c>
      <c r="D626" t="str">
        <f>IF(TRIM(Raw_Data!D626)="Bangalore","Bengaluru",IF(TRIM(Raw_Data!D626)="Mysore","Mysuru",IF(TRIM(Raw_Data!D626)="Cochin","Kochi",PROPER(TRIM(Raw_Data!D626)))))</f>
        <v>Delhi</v>
      </c>
      <c r="E626" t="str">
        <f>PROPER(TRIM(Raw_Data!E626))</f>
        <v>Retail Store</v>
      </c>
      <c r="F626" t="str">
        <f>PROPER(TRIM(Raw_Data!F626))</f>
        <v>Smb</v>
      </c>
      <c r="G626" t="str">
        <f>PROPER(TRIM(Raw_Data!G626))</f>
        <v>Laptop</v>
      </c>
      <c r="H626" t="str">
        <f>PROPER(TRIM(Raw_Data!H626))</f>
        <v>Laptop Pro 14</v>
      </c>
      <c r="I626">
        <f>IFERROR(MAX(0,VALUE(Raw_Data!I626)),0)</f>
        <v>6</v>
      </c>
      <c r="J626" s="13">
        <f>IFERROR(VALUE(Raw_Data!J626),0)</f>
        <v>83140</v>
      </c>
      <c r="K626" s="14">
        <f>IFERROR(VALUE(Raw_Data!K626),0)</f>
        <v>0.02</v>
      </c>
      <c r="L626" t="str">
        <f>PROPER(TRIM(Raw_Data!L626))</f>
        <v>Pending</v>
      </c>
      <c r="M626" s="13">
        <f t="shared" si="72"/>
        <v>498840</v>
      </c>
      <c r="N626" s="13">
        <f t="shared" si="73"/>
        <v>9976.8</v>
      </c>
      <c r="O626" s="13">
        <f t="shared" si="74"/>
        <v>488863.2</v>
      </c>
      <c r="P626" s="13">
        <f t="shared" si="75"/>
        <v>389095.2</v>
      </c>
      <c r="Q626" s="13">
        <f t="shared" si="76"/>
        <v>99768</v>
      </c>
      <c r="R626" s="10">
        <f t="shared" si="77"/>
        <v>0.204081632653061</v>
      </c>
      <c r="S626" t="str">
        <f t="shared" si="78"/>
        <v>Feb-2026</v>
      </c>
      <c r="T626" t="str">
        <f t="shared" si="79"/>
        <v>OK</v>
      </c>
    </row>
    <row r="627" spans="1:20">
      <c r="A627" t="str">
        <f>TRIM(Raw_Data!A627)</f>
        <v>ORD-10626</v>
      </c>
      <c r="B627" s="12">
        <f>IFERROR(IF(ISNUMBER(Raw_Data!B627),Raw_Data!B627,DATEVALUE(Raw_Data!B627)),"")</f>
        <v>46137</v>
      </c>
      <c r="C627" t="str">
        <f>PROPER(TRIM(Raw_Data!C627))</f>
        <v>Ravi</v>
      </c>
      <c r="D627" t="str">
        <f>IF(TRIM(Raw_Data!D627)="Bangalore","Bengaluru",IF(TRIM(Raw_Data!D627)="Mysore","Mysuru",IF(TRIM(Raw_Data!D627)="Cochin","Kochi",PROPER(TRIM(Raw_Data!D627)))))</f>
        <v>Bengaluru</v>
      </c>
      <c r="E627" t="str">
        <f>PROPER(TRIM(Raw_Data!E627))</f>
        <v>Corporate</v>
      </c>
      <c r="F627" t="str">
        <f>PROPER(TRIM(Raw_Data!F627))</f>
        <v>Consumer</v>
      </c>
      <c r="G627" t="str">
        <f>PROPER(TRIM(Raw_Data!G627))</f>
        <v>Keyboard</v>
      </c>
      <c r="H627" t="str">
        <f>PROPER(TRIM(Raw_Data!H627))</f>
        <v>Keyboard Wireless</v>
      </c>
      <c r="I627">
        <f>IFERROR(MAX(0,VALUE(Raw_Data!I627)),0)</f>
        <v>1</v>
      </c>
      <c r="J627" s="13">
        <f>IFERROR(VALUE(Raw_Data!J627),0)</f>
        <v>2093</v>
      </c>
      <c r="K627" s="14">
        <f>IFERROR(VALUE(Raw_Data!K627),0)</f>
        <v>0.05</v>
      </c>
      <c r="L627" t="str">
        <f>PROPER(TRIM(Raw_Data!L627))</f>
        <v>Delivered</v>
      </c>
      <c r="M627" s="13">
        <f t="shared" si="72"/>
        <v>2093</v>
      </c>
      <c r="N627" s="13">
        <f t="shared" si="73"/>
        <v>104.65</v>
      </c>
      <c r="O627" s="13">
        <f t="shared" si="74"/>
        <v>1988.35</v>
      </c>
      <c r="P627" s="13">
        <f t="shared" si="75"/>
        <v>1213.94</v>
      </c>
      <c r="Q627" s="13">
        <f t="shared" si="76"/>
        <v>774.41</v>
      </c>
      <c r="R627" s="10">
        <f t="shared" si="77"/>
        <v>0.389473684210526</v>
      </c>
      <c r="S627" t="str">
        <f t="shared" si="78"/>
        <v>Apr-2026</v>
      </c>
      <c r="T627" t="str">
        <f t="shared" si="79"/>
        <v>OK</v>
      </c>
    </row>
    <row r="628" spans="1:20">
      <c r="A628" t="str">
        <f>TRIM(Raw_Data!A628)</f>
        <v>ORD-10627</v>
      </c>
      <c r="B628" s="12">
        <f>IFERROR(IF(ISNUMBER(Raw_Data!B628),Raw_Data!B628,DATEVALUE(Raw_Data!B628)),"")</f>
        <v>46250</v>
      </c>
      <c r="C628" t="str">
        <f>PROPER(TRIM(Raw_Data!C628))</f>
        <v>Bhoomika</v>
      </c>
      <c r="D628" t="str">
        <f>IF(TRIM(Raw_Data!D628)="Bangalore","Bengaluru",IF(TRIM(Raw_Data!D628)="Mysore","Mysuru",IF(TRIM(Raw_Data!D628)="Cochin","Kochi",PROPER(TRIM(Raw_Data!D628)))))</f>
        <v>Kochi</v>
      </c>
      <c r="E628" t="str">
        <f>PROPER(TRIM(Raw_Data!E628))</f>
        <v>Corporate</v>
      </c>
      <c r="F628" t="str">
        <f>PROPER(TRIM(Raw_Data!F628))</f>
        <v>Enterprise</v>
      </c>
      <c r="G628" t="str">
        <f>PROPER(TRIM(Raw_Data!G628))</f>
        <v>Monitor</v>
      </c>
      <c r="H628" t="str">
        <f>PROPER(TRIM(Raw_Data!H628))</f>
        <v>Monitor 27</v>
      </c>
      <c r="I628">
        <f>IFERROR(MAX(0,VALUE(Raw_Data!I628)),0)</f>
        <v>7</v>
      </c>
      <c r="J628" s="13">
        <f>IFERROR(VALUE(Raw_Data!J628),0)</f>
        <v>10912</v>
      </c>
      <c r="K628" s="14">
        <f>IFERROR(VALUE(Raw_Data!K628),0)</f>
        <v>0.08</v>
      </c>
      <c r="L628" t="str">
        <f>PROPER(TRIM(Raw_Data!L628))</f>
        <v>Cancelled</v>
      </c>
      <c r="M628" s="13">
        <f t="shared" si="72"/>
        <v>76384</v>
      </c>
      <c r="N628" s="13">
        <f t="shared" si="73"/>
        <v>6110.72</v>
      </c>
      <c r="O628" s="13">
        <f t="shared" si="74"/>
        <v>70273.28</v>
      </c>
      <c r="P628" s="13">
        <f t="shared" si="75"/>
        <v>53468.8</v>
      </c>
      <c r="Q628" s="13">
        <f t="shared" si="76"/>
        <v>16804.48</v>
      </c>
      <c r="R628" s="10">
        <f t="shared" si="77"/>
        <v>0.239130434782609</v>
      </c>
      <c r="S628" t="str">
        <f t="shared" si="78"/>
        <v>Aug-2026</v>
      </c>
      <c r="T628" t="str">
        <f t="shared" si="79"/>
        <v>OK</v>
      </c>
    </row>
    <row r="629" spans="1:20">
      <c r="A629" t="str">
        <f>TRIM(Raw_Data!A629)</f>
        <v>ORD-10628</v>
      </c>
      <c r="B629" s="12">
        <f>IFERROR(IF(ISNUMBER(Raw_Data!B629),Raw_Data!B629,DATEVALUE(Raw_Data!B629)),"")</f>
        <v>46180</v>
      </c>
      <c r="C629" t="str">
        <f>PROPER(TRIM(Raw_Data!C629))</f>
        <v>Asha</v>
      </c>
      <c r="D629" t="str">
        <f>IF(TRIM(Raw_Data!D629)="Bangalore","Bengaluru",IF(TRIM(Raw_Data!D629)="Mysore","Mysuru",IF(TRIM(Raw_Data!D629)="Cochin","Kochi",PROPER(TRIM(Raw_Data!D629)))))</f>
        <v>Hyderabad</v>
      </c>
      <c r="E629" t="str">
        <f>PROPER(TRIM(Raw_Data!E629))</f>
        <v>Corporate</v>
      </c>
      <c r="F629" t="str">
        <f>PROPER(TRIM(Raw_Data!F629))</f>
        <v>Consumer</v>
      </c>
      <c r="G629" t="str">
        <f>PROPER(TRIM(Raw_Data!G629))</f>
        <v>Keyboard</v>
      </c>
      <c r="H629" t="str">
        <f>PROPER(TRIM(Raw_Data!H629))</f>
        <v>Keyboard Wireless</v>
      </c>
      <c r="I629">
        <f>IFERROR(MAX(0,VALUE(Raw_Data!I629)),0)</f>
        <v>1</v>
      </c>
      <c r="J629" s="13">
        <f>IFERROR(VALUE(Raw_Data!J629),0)</f>
        <v>1879</v>
      </c>
      <c r="K629" s="14">
        <f>IFERROR(VALUE(Raw_Data!K629),0)</f>
        <v>0.02</v>
      </c>
      <c r="L629" t="str">
        <f>PROPER(TRIM(Raw_Data!L629))</f>
        <v>Delivered</v>
      </c>
      <c r="M629" s="13">
        <f t="shared" si="72"/>
        <v>1879</v>
      </c>
      <c r="N629" s="13">
        <f t="shared" si="73"/>
        <v>37.58</v>
      </c>
      <c r="O629" s="13">
        <f t="shared" si="74"/>
        <v>1841.42</v>
      </c>
      <c r="P629" s="13">
        <f t="shared" si="75"/>
        <v>1089.82</v>
      </c>
      <c r="Q629" s="13">
        <f t="shared" si="76"/>
        <v>751.6</v>
      </c>
      <c r="R629" s="10">
        <f t="shared" si="77"/>
        <v>0.408163265306123</v>
      </c>
      <c r="S629" t="str">
        <f t="shared" si="78"/>
        <v>Jun-2026</v>
      </c>
      <c r="T629" t="str">
        <f t="shared" si="79"/>
        <v>OK</v>
      </c>
    </row>
    <row r="630" spans="1:20">
      <c r="A630" t="str">
        <f>TRIM(Raw_Data!A630)</f>
        <v>ORD-10629</v>
      </c>
      <c r="B630" s="12">
        <f>IFERROR(IF(ISNUMBER(Raw_Data!B630),Raw_Data!B630,DATEVALUE(Raw_Data!B630)),"")</f>
        <v>46040</v>
      </c>
      <c r="C630" t="str">
        <f>PROPER(TRIM(Raw_Data!C630))</f>
        <v>Ravi</v>
      </c>
      <c r="D630" t="str">
        <f>IF(TRIM(Raw_Data!D630)="Bangalore","Bengaluru",IF(TRIM(Raw_Data!D630)="Mysore","Mysuru",IF(TRIM(Raw_Data!D630)="Cochin","Kochi",PROPER(TRIM(Raw_Data!D630)))))</f>
        <v>New Delhi</v>
      </c>
      <c r="E630" t="str">
        <f>PROPER(TRIM(Raw_Data!E630))</f>
        <v>Corporate</v>
      </c>
      <c r="F630" t="str">
        <f>PROPER(TRIM(Raw_Data!F630))</f>
        <v>Enterprise</v>
      </c>
      <c r="G630" t="str">
        <f>PROPER(TRIM(Raw_Data!G630))</f>
        <v>Monitor</v>
      </c>
      <c r="H630" t="str">
        <f>PROPER(TRIM(Raw_Data!H630))</f>
        <v>Monitor 24</v>
      </c>
      <c r="I630">
        <f>IFERROR(MAX(0,VALUE(Raw_Data!I630)),0)</f>
        <v>7</v>
      </c>
      <c r="J630" s="13">
        <f>IFERROR(VALUE(Raw_Data!J630),0)</f>
        <v>24745</v>
      </c>
      <c r="K630" s="14">
        <f>IFERROR(VALUE(Raw_Data!K630),0)</f>
        <v>0.1</v>
      </c>
      <c r="L630" t="str">
        <f>PROPER(TRIM(Raw_Data!L630))</f>
        <v>Returned</v>
      </c>
      <c r="M630" s="13">
        <f t="shared" si="72"/>
        <v>173215</v>
      </c>
      <c r="N630" s="13">
        <f t="shared" si="73"/>
        <v>17321.5</v>
      </c>
      <c r="O630" s="13">
        <f t="shared" si="74"/>
        <v>155893.5</v>
      </c>
      <c r="P630" s="13">
        <f t="shared" si="75"/>
        <v>121250.5</v>
      </c>
      <c r="Q630" s="13">
        <f t="shared" si="76"/>
        <v>34643</v>
      </c>
      <c r="R630" s="10">
        <f t="shared" si="77"/>
        <v>0.222222222222222</v>
      </c>
      <c r="S630" t="str">
        <f t="shared" si="78"/>
        <v>Jan-2026</v>
      </c>
      <c r="T630" t="str">
        <f t="shared" si="79"/>
        <v>OK</v>
      </c>
    </row>
    <row r="631" spans="1:20">
      <c r="A631" t="str">
        <f>TRIM(Raw_Data!A631)</f>
        <v>ORD-10630</v>
      </c>
      <c r="B631" s="12">
        <f>IFERROR(IF(ISNUMBER(Raw_Data!B631),Raw_Data!B631,DATEVALUE(Raw_Data!B631)),"")</f>
        <v>46207</v>
      </c>
      <c r="C631" t="str">
        <f>PROPER(TRIM(Raw_Data!C631))</f>
        <v>Ravi</v>
      </c>
      <c r="D631" t="str">
        <f>IF(TRIM(Raw_Data!D631)="Bangalore","Bengaluru",IF(TRIM(Raw_Data!D631)="Mysore","Mysuru",IF(TRIM(Raw_Data!D631)="Cochin","Kochi",PROPER(TRIM(Raw_Data!D631)))))</f>
        <v>Kochi</v>
      </c>
      <c r="E631" t="str">
        <f>PROPER(TRIM(Raw_Data!E631))</f>
        <v>Online</v>
      </c>
      <c r="F631" t="str">
        <f>PROPER(TRIM(Raw_Data!F631))</f>
        <v>Smb</v>
      </c>
      <c r="G631" t="str">
        <f>PROPER(TRIM(Raw_Data!G631))</f>
        <v>Keyboard</v>
      </c>
      <c r="H631" t="str">
        <f>PROPER(TRIM(Raw_Data!H631))</f>
        <v>Keyboard Office</v>
      </c>
      <c r="I631">
        <f>IFERROR(MAX(0,VALUE(Raw_Data!I631)),0)</f>
        <v>3</v>
      </c>
      <c r="J631" s="13">
        <f>IFERROR(VALUE(Raw_Data!J631),0)</f>
        <v>2262</v>
      </c>
      <c r="K631" s="14">
        <f>IFERROR(VALUE(Raw_Data!K631),0)</f>
        <v>0.05</v>
      </c>
      <c r="L631" t="str">
        <f>PROPER(TRIM(Raw_Data!L631))</f>
        <v>Delivered</v>
      </c>
      <c r="M631" s="13">
        <f t="shared" si="72"/>
        <v>6786</v>
      </c>
      <c r="N631" s="13">
        <f t="shared" si="73"/>
        <v>339.3</v>
      </c>
      <c r="O631" s="13">
        <f t="shared" si="74"/>
        <v>6446.7</v>
      </c>
      <c r="P631" s="13">
        <f t="shared" si="75"/>
        <v>3935.88</v>
      </c>
      <c r="Q631" s="13">
        <f t="shared" si="76"/>
        <v>2510.82</v>
      </c>
      <c r="R631" s="10">
        <f t="shared" si="77"/>
        <v>0.389473684210526</v>
      </c>
      <c r="S631" t="str">
        <f t="shared" si="78"/>
        <v>Jul-2026</v>
      </c>
      <c r="T631" t="str">
        <f t="shared" si="79"/>
        <v>OK</v>
      </c>
    </row>
    <row r="632" spans="1:20">
      <c r="A632" t="str">
        <f>TRIM(Raw_Data!A632)</f>
        <v>ORD-10631</v>
      </c>
      <c r="B632" s="12">
        <f>IFERROR(IF(ISNUMBER(Raw_Data!B632),Raw_Data!B632,DATEVALUE(Raw_Data!B632)),"")</f>
        <v>46038</v>
      </c>
      <c r="C632" t="str">
        <f>PROPER(TRIM(Raw_Data!C632))</f>
        <v>Neha</v>
      </c>
      <c r="D632" t="str">
        <f>IF(TRIM(Raw_Data!D632)="Bangalore","Bengaluru",IF(TRIM(Raw_Data!D632)="Mysore","Mysuru",IF(TRIM(Raw_Data!D632)="Cochin","Kochi",PROPER(TRIM(Raw_Data!D632)))))</f>
        <v>Bengaluru</v>
      </c>
      <c r="E632" t="str">
        <f>PROPER(TRIM(Raw_Data!E632))</f>
        <v>Retail Store</v>
      </c>
      <c r="F632" t="str">
        <f>PROPER(TRIM(Raw_Data!F632))</f>
        <v>Consumer</v>
      </c>
      <c r="G632" t="str">
        <f>PROPER(TRIM(Raw_Data!G632))</f>
        <v>Mouse</v>
      </c>
      <c r="H632" t="str">
        <f>PROPER(TRIM(Raw_Data!H632))</f>
        <v>Mouse Basic</v>
      </c>
      <c r="I632">
        <f>IFERROR(MAX(0,VALUE(Raw_Data!I632)),0)</f>
        <v>8</v>
      </c>
      <c r="J632" s="13">
        <f>IFERROR(VALUE(Raw_Data!J632),0)</f>
        <v>2401</v>
      </c>
      <c r="K632" s="14">
        <f>IFERROR(VALUE(Raw_Data!K632),0)</f>
        <v>0.02</v>
      </c>
      <c r="L632" t="str">
        <f>PROPER(TRIM(Raw_Data!L632))</f>
        <v>Delivered</v>
      </c>
      <c r="M632" s="13">
        <f t="shared" si="72"/>
        <v>19208</v>
      </c>
      <c r="N632" s="13">
        <f t="shared" si="73"/>
        <v>384.16</v>
      </c>
      <c r="O632" s="13">
        <f t="shared" si="74"/>
        <v>18823.84</v>
      </c>
      <c r="P632" s="13">
        <f t="shared" si="75"/>
        <v>10564.4</v>
      </c>
      <c r="Q632" s="13">
        <f t="shared" si="76"/>
        <v>8259.44</v>
      </c>
      <c r="R632" s="10">
        <f t="shared" si="77"/>
        <v>0.438775510204082</v>
      </c>
      <c r="S632" t="str">
        <f t="shared" si="78"/>
        <v>Jan-2026</v>
      </c>
      <c r="T632" t="str">
        <f t="shared" si="79"/>
        <v>OK</v>
      </c>
    </row>
    <row r="633" spans="1:20">
      <c r="A633" t="str">
        <f>TRIM(Raw_Data!A633)</f>
        <v>ORD-10632</v>
      </c>
      <c r="B633" s="12">
        <f>IFERROR(IF(ISNUMBER(Raw_Data!B633),Raw_Data!B633,DATEVALUE(Raw_Data!B633)),"")</f>
        <v>46091</v>
      </c>
      <c r="C633" t="str">
        <f>PROPER(TRIM(Raw_Data!C633))</f>
        <v>Kiran</v>
      </c>
      <c r="D633" t="str">
        <f>IF(TRIM(Raw_Data!D633)="Bangalore","Bengaluru",IF(TRIM(Raw_Data!D633)="Mysore","Mysuru",IF(TRIM(Raw_Data!D633)="Cochin","Kochi",PROPER(TRIM(Raw_Data!D633)))))</f>
        <v>Kochi</v>
      </c>
      <c r="E633" t="str">
        <f>PROPER(TRIM(Raw_Data!E633))</f>
        <v>Corporate</v>
      </c>
      <c r="F633" t="str">
        <f>PROPER(TRIM(Raw_Data!F633))</f>
        <v>Smb</v>
      </c>
      <c r="G633" t="str">
        <f>PROPER(TRIM(Raw_Data!G633))</f>
        <v>Mouse</v>
      </c>
      <c r="H633" t="str">
        <f>PROPER(TRIM(Raw_Data!H633))</f>
        <v>Mouse Wireless</v>
      </c>
      <c r="I633">
        <f>IFERROR(MAX(0,VALUE(Raw_Data!I633)),0)</f>
        <v>2</v>
      </c>
      <c r="J633" s="13">
        <f>IFERROR(VALUE(Raw_Data!J633),0)</f>
        <v>2032</v>
      </c>
      <c r="K633" s="14">
        <f>IFERROR(VALUE(Raw_Data!K633),0)</f>
        <v>0.1</v>
      </c>
      <c r="L633" t="str">
        <f>PROPER(TRIM(Raw_Data!L633))</f>
        <v>Returned</v>
      </c>
      <c r="M633" s="13">
        <f t="shared" si="72"/>
        <v>4064</v>
      </c>
      <c r="N633" s="13">
        <f t="shared" si="73"/>
        <v>406.4</v>
      </c>
      <c r="O633" s="13">
        <f t="shared" si="74"/>
        <v>3657.6</v>
      </c>
      <c r="P633" s="13">
        <f t="shared" si="75"/>
        <v>2235.2</v>
      </c>
      <c r="Q633" s="13">
        <f t="shared" si="76"/>
        <v>1422.4</v>
      </c>
      <c r="R633" s="10">
        <f t="shared" si="77"/>
        <v>0.388888888888889</v>
      </c>
      <c r="S633" t="str">
        <f t="shared" si="78"/>
        <v>Mar-2026</v>
      </c>
      <c r="T633" t="str">
        <f t="shared" si="79"/>
        <v>OK</v>
      </c>
    </row>
    <row r="634" spans="1:20">
      <c r="A634" t="str">
        <f>TRIM(Raw_Data!A634)</f>
        <v>ORD-10633</v>
      </c>
      <c r="B634" s="12">
        <f>IFERROR(IF(ISNUMBER(Raw_Data!B634),Raw_Data!B634,DATEVALUE(Raw_Data!B634)),"")</f>
        <v>46206</v>
      </c>
      <c r="C634" t="str">
        <f>PROPER(TRIM(Raw_Data!C634))</f>
        <v>Ravi</v>
      </c>
      <c r="D634" t="str">
        <f>IF(TRIM(Raw_Data!D634)="Bangalore","Bengaluru",IF(TRIM(Raw_Data!D634)="Mysore","Mysuru",IF(TRIM(Raw_Data!D634)="Cochin","Kochi",PROPER(TRIM(Raw_Data!D634)))))</f>
        <v>Hyderabad</v>
      </c>
      <c r="E634" t="str">
        <f>PROPER(TRIM(Raw_Data!E634))</f>
        <v>Corporate</v>
      </c>
      <c r="F634" t="str">
        <f>PROPER(TRIM(Raw_Data!F634))</f>
        <v>Smb</v>
      </c>
      <c r="G634" t="str">
        <f>PROPER(TRIM(Raw_Data!G634))</f>
        <v>Monitor</v>
      </c>
      <c r="H634" t="str">
        <f>PROPER(TRIM(Raw_Data!H634))</f>
        <v>Monitor 32</v>
      </c>
      <c r="I634">
        <f>IFERROR(MAX(0,VALUE(Raw_Data!I634)),0)</f>
        <v>4</v>
      </c>
      <c r="J634" s="13">
        <f>IFERROR(VALUE(Raw_Data!J634),0)</f>
        <v>19676</v>
      </c>
      <c r="K634" s="14">
        <f>IFERROR(VALUE(Raw_Data!K634),0)</f>
        <v>0.15</v>
      </c>
      <c r="L634" t="str">
        <f>PROPER(TRIM(Raw_Data!L634))</f>
        <v>Pending</v>
      </c>
      <c r="M634" s="13">
        <f t="shared" si="72"/>
        <v>78704</v>
      </c>
      <c r="N634" s="13">
        <f t="shared" si="73"/>
        <v>11805.6</v>
      </c>
      <c r="O634" s="13">
        <f t="shared" si="74"/>
        <v>66898.4</v>
      </c>
      <c r="P634" s="13">
        <f t="shared" si="75"/>
        <v>55092.8</v>
      </c>
      <c r="Q634" s="13">
        <f t="shared" si="76"/>
        <v>11805.6</v>
      </c>
      <c r="R634" s="10">
        <f t="shared" si="77"/>
        <v>0.176470588235294</v>
      </c>
      <c r="S634" t="str">
        <f t="shared" si="78"/>
        <v>Jul-2026</v>
      </c>
      <c r="T634" t="str">
        <f t="shared" si="79"/>
        <v>OK</v>
      </c>
    </row>
    <row r="635" spans="1:20">
      <c r="A635" t="str">
        <f>TRIM(Raw_Data!A635)</f>
        <v>ORD-10634</v>
      </c>
      <c r="B635" s="12">
        <f>IFERROR(IF(ISNUMBER(Raw_Data!B635),Raw_Data!B635,DATEVALUE(Raw_Data!B635)),"")</f>
        <v>46242</v>
      </c>
      <c r="C635" t="str">
        <f>PROPER(TRIM(Raw_Data!C635))</f>
        <v>Neha</v>
      </c>
      <c r="D635" t="str">
        <f>IF(TRIM(Raw_Data!D635)="Bangalore","Bengaluru",IF(TRIM(Raw_Data!D635)="Mysore","Mysuru",IF(TRIM(Raw_Data!D635)="Cochin","Kochi",PROPER(TRIM(Raw_Data!D635)))))</f>
        <v>Delhi</v>
      </c>
      <c r="E635" t="str">
        <f>PROPER(TRIM(Raw_Data!E635))</f>
        <v>Retail Store</v>
      </c>
      <c r="F635" t="str">
        <f>PROPER(TRIM(Raw_Data!F635))</f>
        <v>Smb</v>
      </c>
      <c r="G635" t="str">
        <f>PROPER(TRIM(Raw_Data!G635))</f>
        <v>Headset</v>
      </c>
      <c r="H635" t="str">
        <f>PROPER(TRIM(Raw_Data!H635))</f>
        <v>Headset Pro</v>
      </c>
      <c r="I635">
        <f>IFERROR(MAX(0,VALUE(Raw_Data!I635)),0)</f>
        <v>8</v>
      </c>
      <c r="J635" s="13">
        <f>IFERROR(VALUE(Raw_Data!J635),0)</f>
        <v>2500</v>
      </c>
      <c r="K635" s="14">
        <f>IFERROR(VALUE(Raw_Data!K635),0)</f>
        <v>0.15</v>
      </c>
      <c r="L635" t="str">
        <f>PROPER(TRIM(Raw_Data!L635))</f>
        <v>Returned</v>
      </c>
      <c r="M635" s="13">
        <f t="shared" si="72"/>
        <v>20000</v>
      </c>
      <c r="N635" s="13">
        <f t="shared" si="73"/>
        <v>3000</v>
      </c>
      <c r="O635" s="13">
        <f t="shared" si="74"/>
        <v>17000</v>
      </c>
      <c r="P635" s="13">
        <f t="shared" si="75"/>
        <v>12000</v>
      </c>
      <c r="Q635" s="13">
        <f t="shared" si="76"/>
        <v>5000</v>
      </c>
      <c r="R635" s="10">
        <f t="shared" si="77"/>
        <v>0.294117647058824</v>
      </c>
      <c r="S635" t="str">
        <f t="shared" si="78"/>
        <v>Aug-2026</v>
      </c>
      <c r="T635" t="str">
        <f t="shared" si="79"/>
        <v>OK</v>
      </c>
    </row>
    <row r="636" spans="1:20">
      <c r="A636" t="str">
        <f>TRIM(Raw_Data!A636)</f>
        <v>ORD-10635</v>
      </c>
      <c r="B636" s="12">
        <f>IFERROR(IF(ISNUMBER(Raw_Data!B636),Raw_Data!B636,DATEVALUE(Raw_Data!B636)),"")</f>
        <v>46177</v>
      </c>
      <c r="C636" t="str">
        <f>PROPER(TRIM(Raw_Data!C636))</f>
        <v>Neha</v>
      </c>
      <c r="D636" t="str">
        <f>IF(TRIM(Raw_Data!D636)="Bangalore","Bengaluru",IF(TRIM(Raw_Data!D636)="Mysore","Mysuru",IF(TRIM(Raw_Data!D636)="Cochin","Kochi",PROPER(TRIM(Raw_Data!D636)))))</f>
        <v>Bengaluru</v>
      </c>
      <c r="E636" t="str">
        <f>PROPER(TRIM(Raw_Data!E636))</f>
        <v>Corporate</v>
      </c>
      <c r="F636" t="str">
        <f>PROPER(TRIM(Raw_Data!F636))</f>
        <v>Enterprise</v>
      </c>
      <c r="G636" t="str">
        <f>PROPER(TRIM(Raw_Data!G636))</f>
        <v>Headset</v>
      </c>
      <c r="H636" t="str">
        <f>PROPER(TRIM(Raw_Data!H636))</f>
        <v>Headset Wireless</v>
      </c>
      <c r="I636">
        <f>IFERROR(MAX(0,VALUE(Raw_Data!I636)),0)</f>
        <v>3</v>
      </c>
      <c r="J636" s="13">
        <f>IFERROR(VALUE(Raw_Data!J636),0)</f>
        <v>2072</v>
      </c>
      <c r="K636" s="14">
        <f>IFERROR(VALUE(Raw_Data!K636),0)</f>
        <v>0</v>
      </c>
      <c r="L636" t="str">
        <f>PROPER(TRIM(Raw_Data!L636))</f>
        <v>Delivered</v>
      </c>
      <c r="M636" s="13">
        <f t="shared" si="72"/>
        <v>6216</v>
      </c>
      <c r="N636" s="13">
        <f t="shared" si="73"/>
        <v>0</v>
      </c>
      <c r="O636" s="13">
        <f t="shared" si="74"/>
        <v>6216</v>
      </c>
      <c r="P636" s="13">
        <f t="shared" si="75"/>
        <v>3729.6</v>
      </c>
      <c r="Q636" s="13">
        <f t="shared" si="76"/>
        <v>2486.4</v>
      </c>
      <c r="R636" s="10">
        <f t="shared" si="77"/>
        <v>0.4</v>
      </c>
      <c r="S636" t="str">
        <f t="shared" si="78"/>
        <v>Jun-2026</v>
      </c>
      <c r="T636" t="str">
        <f t="shared" si="79"/>
        <v>OK</v>
      </c>
    </row>
    <row r="637" spans="1:20">
      <c r="A637" t="str">
        <f>TRIM(Raw_Data!A637)</f>
        <v>ORD-10636</v>
      </c>
      <c r="B637" s="12">
        <f>IFERROR(IF(ISNUMBER(Raw_Data!B637),Raw_Data!B637,DATEVALUE(Raw_Data!B637)),"")</f>
        <v>46048</v>
      </c>
      <c r="C637" t="str">
        <f>PROPER(TRIM(Raw_Data!C637))</f>
        <v>Neha</v>
      </c>
      <c r="D637" t="str">
        <f>IF(TRIM(Raw_Data!D637)="Bangalore","Bengaluru",IF(TRIM(Raw_Data!D637)="Mysore","Mysuru",IF(TRIM(Raw_Data!D637)="Cochin","Kochi",PROPER(TRIM(Raw_Data!D637)))))</f>
        <v>Kochi</v>
      </c>
      <c r="E637" t="str">
        <f>PROPER(TRIM(Raw_Data!E637))</f>
        <v>Corporate</v>
      </c>
      <c r="F637" t="str">
        <f>PROPER(TRIM(Raw_Data!F637))</f>
        <v>Consumer</v>
      </c>
      <c r="G637" t="str">
        <f>PROPER(TRIM(Raw_Data!G637))</f>
        <v>Monitor</v>
      </c>
      <c r="H637" t="str">
        <f>PROPER(TRIM(Raw_Data!H637))</f>
        <v>Monitor 27</v>
      </c>
      <c r="I637">
        <f>IFERROR(MAX(0,VALUE(Raw_Data!I637)),0)</f>
        <v>1</v>
      </c>
      <c r="J637" s="13">
        <f>IFERROR(VALUE(Raw_Data!J637),0)</f>
        <v>26956</v>
      </c>
      <c r="K637" s="14">
        <f>IFERROR(VALUE(Raw_Data!K637),0)</f>
        <v>0.05</v>
      </c>
      <c r="L637" t="str">
        <f>PROPER(TRIM(Raw_Data!L637))</f>
        <v>Cancelled</v>
      </c>
      <c r="M637" s="13">
        <f t="shared" si="72"/>
        <v>26956</v>
      </c>
      <c r="N637" s="13">
        <f t="shared" si="73"/>
        <v>1347.8</v>
      </c>
      <c r="O637" s="13">
        <f t="shared" si="74"/>
        <v>25608.2</v>
      </c>
      <c r="P637" s="13">
        <f t="shared" si="75"/>
        <v>18869.2</v>
      </c>
      <c r="Q637" s="13">
        <f t="shared" si="76"/>
        <v>6739</v>
      </c>
      <c r="R637" s="10">
        <f t="shared" si="77"/>
        <v>0.263157894736842</v>
      </c>
      <c r="S637" t="str">
        <f t="shared" si="78"/>
        <v>Jan-2026</v>
      </c>
      <c r="T637" t="str">
        <f t="shared" si="79"/>
        <v>OK</v>
      </c>
    </row>
    <row r="638" spans="1:20">
      <c r="A638" t="str">
        <f>TRIM(Raw_Data!A638)</f>
        <v>ORD-10637</v>
      </c>
      <c r="B638" s="12">
        <f>IFERROR(IF(ISNUMBER(Raw_Data!B638),Raw_Data!B638,DATEVALUE(Raw_Data!B638)),"")</f>
        <v>46225</v>
      </c>
      <c r="C638" t="str">
        <f>PROPER(TRIM(Raw_Data!C638))</f>
        <v>Neha</v>
      </c>
      <c r="D638" t="str">
        <f>IF(TRIM(Raw_Data!D638)="Bangalore","Bengaluru",IF(TRIM(Raw_Data!D638)="Mysore","Mysuru",IF(TRIM(Raw_Data!D638)="Cochin","Kochi",PROPER(TRIM(Raw_Data!D638)))))</f>
        <v>Bengaluru</v>
      </c>
      <c r="E638" t="str">
        <f>PROPER(TRIM(Raw_Data!E638))</f>
        <v>Online</v>
      </c>
      <c r="F638" t="str">
        <f>PROPER(TRIM(Raw_Data!F638))</f>
        <v>Consumer</v>
      </c>
      <c r="G638" t="str">
        <f>PROPER(TRIM(Raw_Data!G638))</f>
        <v>Laptop</v>
      </c>
      <c r="H638" t="str">
        <f>PROPER(TRIM(Raw_Data!H638))</f>
        <v>Laptop Pro 14</v>
      </c>
      <c r="I638">
        <f>IFERROR(MAX(0,VALUE(Raw_Data!I638)),0)</f>
        <v>2</v>
      </c>
      <c r="J638" s="13">
        <f>IFERROR(VALUE(Raw_Data!J638),0)</f>
        <v>63227</v>
      </c>
      <c r="K638" s="14">
        <f>IFERROR(VALUE(Raw_Data!K638),0)</f>
        <v>0.1</v>
      </c>
      <c r="L638" t="str">
        <f>PROPER(TRIM(Raw_Data!L638))</f>
        <v>Cancelled</v>
      </c>
      <c r="M638" s="13">
        <f t="shared" si="72"/>
        <v>126454</v>
      </c>
      <c r="N638" s="13">
        <f t="shared" si="73"/>
        <v>12645.4</v>
      </c>
      <c r="O638" s="13">
        <f t="shared" si="74"/>
        <v>113808.6</v>
      </c>
      <c r="P638" s="13">
        <f t="shared" si="75"/>
        <v>98634.12</v>
      </c>
      <c r="Q638" s="13">
        <f t="shared" si="76"/>
        <v>15174.48</v>
      </c>
      <c r="R638" s="10">
        <f t="shared" si="77"/>
        <v>0.133333333333333</v>
      </c>
      <c r="S638" t="str">
        <f t="shared" si="78"/>
        <v>Jul-2026</v>
      </c>
      <c r="T638" t="str">
        <f t="shared" si="79"/>
        <v>OK</v>
      </c>
    </row>
    <row r="639" spans="1:20">
      <c r="A639" t="str">
        <f>TRIM(Raw_Data!A639)</f>
        <v>ORD-10638</v>
      </c>
      <c r="B639" s="12">
        <f>IFERROR(IF(ISNUMBER(Raw_Data!B639),Raw_Data!B639,DATEVALUE(Raw_Data!B639)),"")</f>
        <v>46029</v>
      </c>
      <c r="C639" t="str">
        <f>PROPER(TRIM(Raw_Data!C639))</f>
        <v>Neha</v>
      </c>
      <c r="D639" t="str">
        <f>IF(TRIM(Raw_Data!D639)="Bangalore","Bengaluru",IF(TRIM(Raw_Data!D639)="Mysore","Mysuru",IF(TRIM(Raw_Data!D639)="Cochin","Kochi",PROPER(TRIM(Raw_Data!D639)))))</f>
        <v>Pune</v>
      </c>
      <c r="E639" t="str">
        <f>PROPER(TRIM(Raw_Data!E639))</f>
        <v>Retail Store</v>
      </c>
      <c r="F639" t="str">
        <f>PROPER(TRIM(Raw_Data!F639))</f>
        <v>Smb</v>
      </c>
      <c r="G639" t="str">
        <f>PROPER(TRIM(Raw_Data!G639))</f>
        <v>Laptop</v>
      </c>
      <c r="H639" t="str">
        <f>PROPER(TRIM(Raw_Data!H639))</f>
        <v>Laptop Air 13</v>
      </c>
      <c r="I639">
        <f>IFERROR(MAX(0,VALUE(Raw_Data!I639)),0)</f>
        <v>4</v>
      </c>
      <c r="J639" s="13">
        <f>IFERROR(VALUE(Raw_Data!J639),0)</f>
        <v>76324</v>
      </c>
      <c r="K639" s="14">
        <f>IFERROR(VALUE(Raw_Data!K639),0)</f>
        <v>0</v>
      </c>
      <c r="L639" t="str">
        <f>PROPER(TRIM(Raw_Data!L639))</f>
        <v>Cancelled</v>
      </c>
      <c r="M639" s="13">
        <f t="shared" si="72"/>
        <v>305296</v>
      </c>
      <c r="N639" s="13">
        <f t="shared" si="73"/>
        <v>0</v>
      </c>
      <c r="O639" s="13">
        <f t="shared" si="74"/>
        <v>305296</v>
      </c>
      <c r="P639" s="13">
        <f t="shared" si="75"/>
        <v>238130.88</v>
      </c>
      <c r="Q639" s="13">
        <f t="shared" si="76"/>
        <v>67165.12</v>
      </c>
      <c r="R639" s="10">
        <f t="shared" si="77"/>
        <v>0.22</v>
      </c>
      <c r="S639" t="str">
        <f t="shared" si="78"/>
        <v>Jan-2026</v>
      </c>
      <c r="T639" t="str">
        <f t="shared" si="79"/>
        <v>OK</v>
      </c>
    </row>
    <row r="640" spans="1:20">
      <c r="A640" t="str">
        <f>TRIM(Raw_Data!A640)</f>
        <v>ORD-10639</v>
      </c>
      <c r="B640" s="12">
        <f>IFERROR(IF(ISNUMBER(Raw_Data!B640),Raw_Data!B640,DATEVALUE(Raw_Data!B640)),"")</f>
        <v>46127</v>
      </c>
      <c r="C640" t="str">
        <f>PROPER(TRIM(Raw_Data!C640))</f>
        <v>Priya</v>
      </c>
      <c r="D640" t="str">
        <f>IF(TRIM(Raw_Data!D640)="Bangalore","Bengaluru",IF(TRIM(Raw_Data!D640)="Mysore","Mysuru",IF(TRIM(Raw_Data!D640)="Cochin","Kochi",PROPER(TRIM(Raw_Data!D640)))))</f>
        <v>Hydrabad</v>
      </c>
      <c r="E640" t="str">
        <f>PROPER(TRIM(Raw_Data!E640))</f>
        <v>Online</v>
      </c>
      <c r="F640" t="str">
        <f>PROPER(TRIM(Raw_Data!F640))</f>
        <v>Consumer</v>
      </c>
      <c r="G640" t="str">
        <f>PROPER(TRIM(Raw_Data!G640))</f>
        <v>Mouse</v>
      </c>
      <c r="H640" t="str">
        <f>PROPER(TRIM(Raw_Data!H640))</f>
        <v>Mouse Basic</v>
      </c>
      <c r="I640">
        <f>IFERROR(MAX(0,VALUE(Raw_Data!I640)),0)</f>
        <v>7</v>
      </c>
      <c r="J640" s="13">
        <f>IFERROR(VALUE(Raw_Data!J640),0)</f>
        <v>1174</v>
      </c>
      <c r="K640" s="14">
        <f>IFERROR(VALUE(Raw_Data!K640),0)</f>
        <v>0.08</v>
      </c>
      <c r="L640" t="str">
        <f>PROPER(TRIM(Raw_Data!L640))</f>
        <v>Delivered</v>
      </c>
      <c r="M640" s="13">
        <f t="shared" si="72"/>
        <v>8218</v>
      </c>
      <c r="N640" s="13">
        <f t="shared" si="73"/>
        <v>657.44</v>
      </c>
      <c r="O640" s="13">
        <f t="shared" si="74"/>
        <v>7560.56</v>
      </c>
      <c r="P640" s="13">
        <f t="shared" si="75"/>
        <v>4519.9</v>
      </c>
      <c r="Q640" s="13">
        <f t="shared" si="76"/>
        <v>3040.66</v>
      </c>
      <c r="R640" s="10">
        <f t="shared" si="77"/>
        <v>0.402173913043478</v>
      </c>
      <c r="S640" t="str">
        <f t="shared" si="78"/>
        <v>Apr-2026</v>
      </c>
      <c r="T640" t="str">
        <f t="shared" si="79"/>
        <v>OK</v>
      </c>
    </row>
    <row r="641" spans="1:20">
      <c r="A641" t="str">
        <f>TRIM(Raw_Data!A641)</f>
        <v>ORD-10640</v>
      </c>
      <c r="B641" s="12">
        <f>IFERROR(IF(ISNUMBER(Raw_Data!B641),Raw_Data!B641,DATEVALUE(Raw_Data!B641)),"")</f>
        <v>46109</v>
      </c>
      <c r="C641" t="str">
        <f>PROPER(TRIM(Raw_Data!C641))</f>
        <v>Bhoomika</v>
      </c>
      <c r="D641" t="str">
        <f>IF(TRIM(Raw_Data!D641)="Bangalore","Bengaluru",IF(TRIM(Raw_Data!D641)="Mysore","Mysuru",IF(TRIM(Raw_Data!D641)="Cochin","Kochi",PROPER(TRIM(Raw_Data!D641)))))</f>
        <v>Bengaluru</v>
      </c>
      <c r="E641" t="str">
        <f>PROPER(TRIM(Raw_Data!E641))</f>
        <v>Retail Store</v>
      </c>
      <c r="F641" t="str">
        <f>PROPER(TRIM(Raw_Data!F641))</f>
        <v>Smb</v>
      </c>
      <c r="G641" t="str">
        <f>PROPER(TRIM(Raw_Data!G641))</f>
        <v>Monitor</v>
      </c>
      <c r="H641" t="str">
        <f>PROPER(TRIM(Raw_Data!H641))</f>
        <v>Monitor 32</v>
      </c>
      <c r="I641">
        <f>IFERROR(MAX(0,VALUE(Raw_Data!I641)),0)</f>
        <v>3</v>
      </c>
      <c r="J641" s="13">
        <f>IFERROR(VALUE(Raw_Data!J641),0)</f>
        <v>23920</v>
      </c>
      <c r="K641" s="14">
        <f>IFERROR(VALUE(Raw_Data!K641),0)</f>
        <v>0.05</v>
      </c>
      <c r="L641" t="str">
        <f>PROPER(TRIM(Raw_Data!L641))</f>
        <v>Delivered</v>
      </c>
      <c r="M641" s="13">
        <f t="shared" si="72"/>
        <v>71760</v>
      </c>
      <c r="N641" s="13">
        <f t="shared" si="73"/>
        <v>3588</v>
      </c>
      <c r="O641" s="13">
        <f t="shared" si="74"/>
        <v>68172</v>
      </c>
      <c r="P641" s="13">
        <f t="shared" si="75"/>
        <v>50232</v>
      </c>
      <c r="Q641" s="13">
        <f t="shared" si="76"/>
        <v>17940</v>
      </c>
      <c r="R641" s="10">
        <f t="shared" si="77"/>
        <v>0.263157894736842</v>
      </c>
      <c r="S641" t="str">
        <f t="shared" si="78"/>
        <v>Mar-2026</v>
      </c>
      <c r="T641" t="str">
        <f t="shared" si="79"/>
        <v>OK</v>
      </c>
    </row>
    <row r="642" spans="1:20">
      <c r="A642" t="str">
        <f>TRIM(Raw_Data!A642)</f>
        <v>ORD-10641</v>
      </c>
      <c r="B642" s="12">
        <f>IFERROR(IF(ISNUMBER(Raw_Data!B642),Raw_Data!B642,DATEVALUE(Raw_Data!B642)),"")</f>
        <v>46072</v>
      </c>
      <c r="C642" t="str">
        <f>PROPER(TRIM(Raw_Data!C642))</f>
        <v>Asha</v>
      </c>
      <c r="D642" t="str">
        <f>IF(TRIM(Raw_Data!D642)="Bangalore","Bengaluru",IF(TRIM(Raw_Data!D642)="Mysore","Mysuru",IF(TRIM(Raw_Data!D642)="Cochin","Kochi",PROPER(TRIM(Raw_Data!D642)))))</f>
        <v>Kochi</v>
      </c>
      <c r="E642" t="str">
        <f>PROPER(TRIM(Raw_Data!E642))</f>
        <v>Retail Store</v>
      </c>
      <c r="F642" t="str">
        <f>PROPER(TRIM(Raw_Data!F642))</f>
        <v>Enterprise</v>
      </c>
      <c r="G642" t="str">
        <f>PROPER(TRIM(Raw_Data!G642))</f>
        <v>Keyboard</v>
      </c>
      <c r="H642" t="str">
        <f>PROPER(TRIM(Raw_Data!H642))</f>
        <v>Keyboard Mechanical</v>
      </c>
      <c r="I642">
        <f>IFERROR(MAX(0,VALUE(Raw_Data!I642)),0)</f>
        <v>6</v>
      </c>
      <c r="J642" s="13">
        <f>IFERROR(VALUE(Raw_Data!J642),0)</f>
        <v>2958</v>
      </c>
      <c r="K642" s="14">
        <f>IFERROR(VALUE(Raw_Data!K642),0)</f>
        <v>0.02</v>
      </c>
      <c r="L642" t="str">
        <f>PROPER(TRIM(Raw_Data!L642))</f>
        <v>Returned</v>
      </c>
      <c r="M642" s="13">
        <f t="shared" ref="M642:M651" si="80">I642*J642</f>
        <v>17748</v>
      </c>
      <c r="N642" s="13">
        <f t="shared" ref="N642:N651" si="81">M642*K642</f>
        <v>354.96</v>
      </c>
      <c r="O642" s="13">
        <f t="shared" ref="O642:O651" si="82">M642-N642</f>
        <v>17393.04</v>
      </c>
      <c r="P642" s="13">
        <f t="shared" ref="P642:P651" si="83">M642*IF(G642="Laptop",0.78,IF(G642="Monitor",0.7,IF(G642="Keyboard",0.58,IF(G642="Mouse",0.55,0.6))))</f>
        <v>10293.84</v>
      </c>
      <c r="Q642" s="13">
        <f t="shared" ref="Q642:Q651" si="84">O642-P642</f>
        <v>7099.2</v>
      </c>
      <c r="R642" s="10">
        <f t="shared" ref="R642:R651" si="85">IFERROR(Q642/O642,0)</f>
        <v>0.408163265306122</v>
      </c>
      <c r="S642" t="str">
        <f t="shared" ref="S642:S651" si="86">IF(B642="","",TEXT(B642,"mmm-yyyy"))</f>
        <v>Feb-2026</v>
      </c>
      <c r="T642" t="str">
        <f t="shared" ref="T642:T651" si="87">IF(OR(A642="",B642="",I642&lt;=0,J642&lt;=0,L642=""),"CHECK","OK")</f>
        <v>OK</v>
      </c>
    </row>
    <row r="643" spans="1:20">
      <c r="A643" t="str">
        <f>TRIM(Raw_Data!A643)</f>
        <v>ORD-10642</v>
      </c>
      <c r="B643" s="12">
        <f>IFERROR(IF(ISNUMBER(Raw_Data!B643),Raw_Data!B643,DATEVALUE(Raw_Data!B643)),"")</f>
        <v>46042</v>
      </c>
      <c r="C643" t="str">
        <f>PROPER(TRIM(Raw_Data!C643))</f>
        <v>Bhoomika</v>
      </c>
      <c r="D643" t="str">
        <f>IF(TRIM(Raw_Data!D643)="Bangalore","Bengaluru",IF(TRIM(Raw_Data!D643)="Mysore","Mysuru",IF(TRIM(Raw_Data!D643)="Cochin","Kochi",PROPER(TRIM(Raw_Data!D643)))))</f>
        <v>Hydrabad</v>
      </c>
      <c r="E643" t="str">
        <f>PROPER(TRIM(Raw_Data!E643))</f>
        <v>Online</v>
      </c>
      <c r="F643" t="str">
        <f>PROPER(TRIM(Raw_Data!F643))</f>
        <v>Consumer</v>
      </c>
      <c r="G643" t="str">
        <f>PROPER(TRIM(Raw_Data!G643))</f>
        <v>Monitor</v>
      </c>
      <c r="H643" t="str">
        <f>PROPER(TRIM(Raw_Data!H643))</f>
        <v>Monitor 24</v>
      </c>
      <c r="I643">
        <f>IFERROR(MAX(0,VALUE(Raw_Data!I643)),0)</f>
        <v>3</v>
      </c>
      <c r="J643" s="13">
        <f>IFERROR(VALUE(Raw_Data!J643),0)</f>
        <v>10763</v>
      </c>
      <c r="K643" s="14">
        <f>IFERROR(VALUE(Raw_Data!K643),0)</f>
        <v>0.08</v>
      </c>
      <c r="L643" t="str">
        <f>PROPER(TRIM(Raw_Data!L643))</f>
        <v>Delivered</v>
      </c>
      <c r="M643" s="13">
        <f t="shared" si="80"/>
        <v>32289</v>
      </c>
      <c r="N643" s="13">
        <f t="shared" si="81"/>
        <v>2583.12</v>
      </c>
      <c r="O643" s="13">
        <f t="shared" si="82"/>
        <v>29705.88</v>
      </c>
      <c r="P643" s="13">
        <f t="shared" si="83"/>
        <v>22602.3</v>
      </c>
      <c r="Q643" s="13">
        <f t="shared" si="84"/>
        <v>7103.58</v>
      </c>
      <c r="R643" s="10">
        <f t="shared" si="85"/>
        <v>0.239130434782609</v>
      </c>
      <c r="S643" t="str">
        <f t="shared" si="86"/>
        <v>Jan-2026</v>
      </c>
      <c r="T643" t="str">
        <f t="shared" si="87"/>
        <v>OK</v>
      </c>
    </row>
    <row r="644" spans="1:20">
      <c r="A644" t="str">
        <f>TRIM(Raw_Data!A644)</f>
        <v>ORD-10643</v>
      </c>
      <c r="B644" s="12">
        <f>IFERROR(IF(ISNUMBER(Raw_Data!B644),Raw_Data!B644,DATEVALUE(Raw_Data!B644)),"")</f>
        <v>46050</v>
      </c>
      <c r="C644" t="str">
        <f>PROPER(TRIM(Raw_Data!C644))</f>
        <v>Arjun</v>
      </c>
      <c r="D644" t="str">
        <f>IF(TRIM(Raw_Data!D644)="Bangalore","Bengaluru",IF(TRIM(Raw_Data!D644)="Mysore","Mysuru",IF(TRIM(Raw_Data!D644)="Cochin","Kochi",PROPER(TRIM(Raw_Data!D644)))))</f>
        <v>Mumbai</v>
      </c>
      <c r="E644" t="str">
        <f>PROPER(TRIM(Raw_Data!E644))</f>
        <v>Retail Store</v>
      </c>
      <c r="F644" t="str">
        <f>PROPER(TRIM(Raw_Data!F644))</f>
        <v>Consumer</v>
      </c>
      <c r="G644" t="str">
        <f>PROPER(TRIM(Raw_Data!G644))</f>
        <v>Keyboard</v>
      </c>
      <c r="H644" t="str">
        <f>PROPER(TRIM(Raw_Data!H644))</f>
        <v>Keyboard Mechanical</v>
      </c>
      <c r="I644">
        <f>IFERROR(MAX(0,VALUE(Raw_Data!I644)),0)</f>
        <v>4</v>
      </c>
      <c r="J644" s="13">
        <f>IFERROR(VALUE(Raw_Data!J644),0)</f>
        <v>3017</v>
      </c>
      <c r="K644" s="14">
        <f>IFERROR(VALUE(Raw_Data!K644),0)</f>
        <v>0</v>
      </c>
      <c r="L644" t="str">
        <f>PROPER(TRIM(Raw_Data!L644))</f>
        <v>Delivered</v>
      </c>
      <c r="M644" s="13">
        <f t="shared" si="80"/>
        <v>12068</v>
      </c>
      <c r="N644" s="13">
        <f t="shared" si="81"/>
        <v>0</v>
      </c>
      <c r="O644" s="13">
        <f t="shared" si="82"/>
        <v>12068</v>
      </c>
      <c r="P644" s="13">
        <f t="shared" si="83"/>
        <v>6999.44</v>
      </c>
      <c r="Q644" s="13">
        <f t="shared" si="84"/>
        <v>5068.56</v>
      </c>
      <c r="R644" s="10">
        <f t="shared" si="85"/>
        <v>0.42</v>
      </c>
      <c r="S644" t="str">
        <f t="shared" si="86"/>
        <v>Jan-2026</v>
      </c>
      <c r="T644" t="str">
        <f t="shared" si="87"/>
        <v>OK</v>
      </c>
    </row>
    <row r="645" spans="1:20">
      <c r="A645" t="str">
        <f>TRIM(Raw_Data!A645)</f>
        <v>ORD-10644</v>
      </c>
      <c r="B645" s="12">
        <f>IFERROR(IF(ISNUMBER(Raw_Data!B645),Raw_Data!B645,DATEVALUE(Raw_Data!B645)),"")</f>
        <v>46131</v>
      </c>
      <c r="C645" t="str">
        <f>PROPER(TRIM(Raw_Data!C645))</f>
        <v>Asha</v>
      </c>
      <c r="D645" t="str">
        <f>IF(TRIM(Raw_Data!D645)="Bangalore","Bengaluru",IF(TRIM(Raw_Data!D645)="Mysore","Mysuru",IF(TRIM(Raw_Data!D645)="Cochin","Kochi",PROPER(TRIM(Raw_Data!D645)))))</f>
        <v>Mumbai</v>
      </c>
      <c r="E645" t="str">
        <f>PROPER(TRIM(Raw_Data!E645))</f>
        <v>Corporate</v>
      </c>
      <c r="F645" t="str">
        <f>PROPER(TRIM(Raw_Data!F645))</f>
        <v>Smb</v>
      </c>
      <c r="G645" t="str">
        <f>PROPER(TRIM(Raw_Data!G645))</f>
        <v>Monitor</v>
      </c>
      <c r="H645" t="str">
        <f>PROPER(TRIM(Raw_Data!H645))</f>
        <v>Monitor 24</v>
      </c>
      <c r="I645">
        <f>IFERROR(MAX(0,VALUE(Raw_Data!I645)),0)</f>
        <v>7</v>
      </c>
      <c r="J645" s="13">
        <f>IFERROR(VALUE(Raw_Data!J645),0)</f>
        <v>12487</v>
      </c>
      <c r="K645" s="14">
        <f>IFERROR(VALUE(Raw_Data!K645),0)</f>
        <v>0</v>
      </c>
      <c r="L645" t="str">
        <f>PROPER(TRIM(Raw_Data!L645))</f>
        <v>Delivered</v>
      </c>
      <c r="M645" s="13">
        <f t="shared" si="80"/>
        <v>87409</v>
      </c>
      <c r="N645" s="13">
        <f t="shared" si="81"/>
        <v>0</v>
      </c>
      <c r="O645" s="13">
        <f t="shared" si="82"/>
        <v>87409</v>
      </c>
      <c r="P645" s="13">
        <f t="shared" si="83"/>
        <v>61186.3</v>
      </c>
      <c r="Q645" s="13">
        <f t="shared" si="84"/>
        <v>26222.7</v>
      </c>
      <c r="R645" s="10">
        <f t="shared" si="85"/>
        <v>0.3</v>
      </c>
      <c r="S645" t="str">
        <f t="shared" si="86"/>
        <v>Apr-2026</v>
      </c>
      <c r="T645" t="str">
        <f t="shared" si="87"/>
        <v>OK</v>
      </c>
    </row>
    <row r="646" spans="1:20">
      <c r="A646" t="str">
        <f>TRIM(Raw_Data!A646)</f>
        <v>ORD-10645</v>
      </c>
      <c r="B646" s="12">
        <f>IFERROR(IF(ISNUMBER(Raw_Data!B646),Raw_Data!B646,DATEVALUE(Raw_Data!B646)),"")</f>
        <v>46162</v>
      </c>
      <c r="C646" t="str">
        <f>PROPER(TRIM(Raw_Data!C646))</f>
        <v>Asha</v>
      </c>
      <c r="D646" t="str">
        <f>IF(TRIM(Raw_Data!D646)="Bangalore","Bengaluru",IF(TRIM(Raw_Data!D646)="Mysore","Mysuru",IF(TRIM(Raw_Data!D646)="Cochin","Kochi",PROPER(TRIM(Raw_Data!D646)))))</f>
        <v>Chennai</v>
      </c>
      <c r="E646" t="str">
        <f>PROPER(TRIM(Raw_Data!E646))</f>
        <v>Online</v>
      </c>
      <c r="F646" t="str">
        <f>PROPER(TRIM(Raw_Data!F646))</f>
        <v>Smb</v>
      </c>
      <c r="G646" t="str">
        <f>PROPER(TRIM(Raw_Data!G646))</f>
        <v>Laptop</v>
      </c>
      <c r="H646" t="str">
        <f>PROPER(TRIM(Raw_Data!H646))</f>
        <v>Business Laptop 15</v>
      </c>
      <c r="I646">
        <f>IFERROR(MAX(0,VALUE(Raw_Data!I646)),0)</f>
        <v>1</v>
      </c>
      <c r="J646" s="13">
        <f>IFERROR(VALUE(Raw_Data!J646),0)</f>
        <v>69002</v>
      </c>
      <c r="K646" s="14">
        <f>IFERROR(VALUE(Raw_Data!K646),0)</f>
        <v>0.15</v>
      </c>
      <c r="L646" t="str">
        <f>PROPER(TRIM(Raw_Data!L646))</f>
        <v>Delivered</v>
      </c>
      <c r="M646" s="13">
        <f t="shared" si="80"/>
        <v>69002</v>
      </c>
      <c r="N646" s="13">
        <f t="shared" si="81"/>
        <v>10350.3</v>
      </c>
      <c r="O646" s="13">
        <f t="shared" si="82"/>
        <v>58651.7</v>
      </c>
      <c r="P646" s="13">
        <f t="shared" si="83"/>
        <v>53821.56</v>
      </c>
      <c r="Q646" s="13">
        <f t="shared" si="84"/>
        <v>4830.13999999999</v>
      </c>
      <c r="R646" s="10">
        <f t="shared" si="85"/>
        <v>0.0823529411764705</v>
      </c>
      <c r="S646" t="str">
        <f t="shared" si="86"/>
        <v>May-2026</v>
      </c>
      <c r="T646" t="str">
        <f t="shared" si="87"/>
        <v>OK</v>
      </c>
    </row>
    <row r="647" spans="1:20">
      <c r="A647" t="str">
        <f>TRIM(Raw_Data!A647)</f>
        <v>ORD-10646</v>
      </c>
      <c r="B647" s="12">
        <f>IFERROR(IF(ISNUMBER(Raw_Data!B647),Raw_Data!B647,DATEVALUE(Raw_Data!B647)),"")</f>
        <v>46148</v>
      </c>
      <c r="C647" t="str">
        <f>PROPER(TRIM(Raw_Data!C647))</f>
        <v>Arjun</v>
      </c>
      <c r="D647" t="str">
        <f>IF(TRIM(Raw_Data!D647)="Bangalore","Bengaluru",IF(TRIM(Raw_Data!D647)="Mysore","Mysuru",IF(TRIM(Raw_Data!D647)="Cochin","Kochi",PROPER(TRIM(Raw_Data!D647)))))</f>
        <v>Kochi</v>
      </c>
      <c r="E647" t="str">
        <f>PROPER(TRIM(Raw_Data!E647))</f>
        <v>Corporate</v>
      </c>
      <c r="F647" t="str">
        <f>PROPER(TRIM(Raw_Data!F647))</f>
        <v>Smb</v>
      </c>
      <c r="G647" t="str">
        <f>PROPER(TRIM(Raw_Data!G647))</f>
        <v>Keyboard</v>
      </c>
      <c r="H647" t="str">
        <f>PROPER(TRIM(Raw_Data!H647))</f>
        <v>Keyboard Wireless</v>
      </c>
      <c r="I647">
        <f>IFERROR(MAX(0,VALUE(Raw_Data!I647)),0)</f>
        <v>7</v>
      </c>
      <c r="J647" s="13">
        <f>IFERROR(VALUE(Raw_Data!J647),0)</f>
        <v>2810</v>
      </c>
      <c r="K647" s="14">
        <f>IFERROR(VALUE(Raw_Data!K647),0)</f>
        <v>0.02</v>
      </c>
      <c r="L647" t="str">
        <f>PROPER(TRIM(Raw_Data!L647))</f>
        <v>Delivered</v>
      </c>
      <c r="M647" s="13">
        <f t="shared" si="80"/>
        <v>19670</v>
      </c>
      <c r="N647" s="13">
        <f t="shared" si="81"/>
        <v>393.4</v>
      </c>
      <c r="O647" s="13">
        <f t="shared" si="82"/>
        <v>19276.6</v>
      </c>
      <c r="P647" s="13">
        <f t="shared" si="83"/>
        <v>11408.6</v>
      </c>
      <c r="Q647" s="13">
        <f t="shared" si="84"/>
        <v>7868</v>
      </c>
      <c r="R647" s="10">
        <f t="shared" si="85"/>
        <v>0.408163265306122</v>
      </c>
      <c r="S647" t="str">
        <f t="shared" si="86"/>
        <v>May-2026</v>
      </c>
      <c r="T647" t="str">
        <f t="shared" si="87"/>
        <v>OK</v>
      </c>
    </row>
    <row r="648" spans="1:20">
      <c r="A648" t="str">
        <f>TRIM(Raw_Data!A648)</f>
        <v>ORD-10647</v>
      </c>
      <c r="B648" s="12" t="str">
        <f>IFERROR(IF(ISNUMBER(Raw_Data!B648),Raw_Data!B648,DATEVALUE(Raw_Data!B648)),"")</f>
        <v/>
      </c>
      <c r="C648" t="str">
        <f>PROPER(TRIM(Raw_Data!C648))</f>
        <v>Neha</v>
      </c>
      <c r="D648" t="str">
        <f>IF(TRIM(Raw_Data!D648)="Bangalore","Bengaluru",IF(TRIM(Raw_Data!D648)="Mysore","Mysuru",IF(TRIM(Raw_Data!D648)="Cochin","Kochi",PROPER(TRIM(Raw_Data!D648)))))</f>
        <v>Kochi</v>
      </c>
      <c r="E648" t="str">
        <f>PROPER(TRIM(Raw_Data!E648))</f>
        <v>Retail Store</v>
      </c>
      <c r="F648" t="str">
        <f>PROPER(TRIM(Raw_Data!F648))</f>
        <v>Enterprise</v>
      </c>
      <c r="G648" t="str">
        <f>PROPER(TRIM(Raw_Data!G648))</f>
        <v>Mouse</v>
      </c>
      <c r="H648" t="str">
        <f>PROPER(TRIM(Raw_Data!H648))</f>
        <v>Mouse Ergonomic</v>
      </c>
      <c r="I648">
        <f>IFERROR(MAX(0,VALUE(Raw_Data!I648)),0)</f>
        <v>2</v>
      </c>
      <c r="J648" s="13">
        <f>IFERROR(VALUE(Raw_Data!J648),0)</f>
        <v>1023</v>
      </c>
      <c r="K648" s="14">
        <f>IFERROR(VALUE(Raw_Data!K648),0)</f>
        <v>0.1</v>
      </c>
      <c r="L648" t="str">
        <f>PROPER(TRIM(Raw_Data!L648))</f>
        <v>Delivered</v>
      </c>
      <c r="M648" s="13">
        <f t="shared" si="80"/>
        <v>2046</v>
      </c>
      <c r="N648" s="13">
        <f t="shared" si="81"/>
        <v>204.6</v>
      </c>
      <c r="O648" s="13">
        <f t="shared" si="82"/>
        <v>1841.4</v>
      </c>
      <c r="P648" s="13">
        <f t="shared" si="83"/>
        <v>1125.3</v>
      </c>
      <c r="Q648" s="13">
        <f t="shared" si="84"/>
        <v>716.1</v>
      </c>
      <c r="R648" s="10">
        <f t="shared" si="85"/>
        <v>0.388888888888889</v>
      </c>
      <c r="S648" t="str">
        <f t="shared" si="86"/>
        <v/>
      </c>
      <c r="T648" t="str">
        <f t="shared" si="87"/>
        <v>CHECK</v>
      </c>
    </row>
    <row r="649" spans="1:20">
      <c r="A649" t="str">
        <f>TRIM(Raw_Data!A649)</f>
        <v>ORD-10648</v>
      </c>
      <c r="B649" s="12">
        <f>IFERROR(IF(ISNUMBER(Raw_Data!B649),Raw_Data!B649,DATEVALUE(Raw_Data!B649)),"")</f>
        <v>46256</v>
      </c>
      <c r="C649" t="str">
        <f>PROPER(TRIM(Raw_Data!C649))</f>
        <v>Ravi</v>
      </c>
      <c r="D649" t="str">
        <f>IF(TRIM(Raw_Data!D649)="Bangalore","Bengaluru",IF(TRIM(Raw_Data!D649)="Mysore","Mysuru",IF(TRIM(Raw_Data!D649)="Cochin","Kochi",PROPER(TRIM(Raw_Data!D649)))))</f>
        <v>Bengaluru</v>
      </c>
      <c r="E649" t="str">
        <f>PROPER(TRIM(Raw_Data!E649))</f>
        <v>Retail Store</v>
      </c>
      <c r="F649" t="str">
        <f>PROPER(TRIM(Raw_Data!F649))</f>
        <v>Consumer</v>
      </c>
      <c r="G649" t="str">
        <f>PROPER(TRIM(Raw_Data!G649))</f>
        <v>Keyboard</v>
      </c>
      <c r="H649" t="str">
        <f>PROPER(TRIM(Raw_Data!H649))</f>
        <v>Keyboard Wireless</v>
      </c>
      <c r="I649">
        <f>IFERROR(MAX(0,VALUE(Raw_Data!I649)),0)</f>
        <v>5</v>
      </c>
      <c r="J649" s="13">
        <f>IFERROR(VALUE(Raw_Data!J649),0)</f>
        <v>1756</v>
      </c>
      <c r="K649" s="14">
        <f>IFERROR(VALUE(Raw_Data!K649),0)</f>
        <v>0.1</v>
      </c>
      <c r="L649" t="str">
        <f>PROPER(TRIM(Raw_Data!L649))</f>
        <v>Delivered</v>
      </c>
      <c r="M649" s="13">
        <f t="shared" si="80"/>
        <v>8780</v>
      </c>
      <c r="N649" s="13">
        <f t="shared" si="81"/>
        <v>878</v>
      </c>
      <c r="O649" s="13">
        <f t="shared" si="82"/>
        <v>7902</v>
      </c>
      <c r="P649" s="13">
        <f t="shared" si="83"/>
        <v>5092.4</v>
      </c>
      <c r="Q649" s="13">
        <f t="shared" si="84"/>
        <v>2809.6</v>
      </c>
      <c r="R649" s="10">
        <f t="shared" si="85"/>
        <v>0.355555555555556</v>
      </c>
      <c r="S649" t="str">
        <f t="shared" si="86"/>
        <v>Aug-2026</v>
      </c>
      <c r="T649" t="str">
        <f t="shared" si="87"/>
        <v>OK</v>
      </c>
    </row>
    <row r="650" spans="1:20">
      <c r="A650" t="str">
        <f>TRIM(Raw_Data!A650)</f>
        <v>ORD-10649</v>
      </c>
      <c r="B650" s="12">
        <f>IFERROR(IF(ISNUMBER(Raw_Data!B650),Raw_Data!B650,DATEVALUE(Raw_Data!B650)),"")</f>
        <v>46186</v>
      </c>
      <c r="C650" t="str">
        <f>PROPER(TRIM(Raw_Data!C650))</f>
        <v>Ravi</v>
      </c>
      <c r="D650" t="str">
        <f>IF(TRIM(Raw_Data!D650)="Bangalore","Bengaluru",IF(TRIM(Raw_Data!D650)="Mysore","Mysuru",IF(TRIM(Raw_Data!D650)="Cochin","Kochi",PROPER(TRIM(Raw_Data!D650)))))</f>
        <v>Chennai</v>
      </c>
      <c r="E650" t="str">
        <f>PROPER(TRIM(Raw_Data!E650))</f>
        <v>Online</v>
      </c>
      <c r="F650" t="str">
        <f>PROPER(TRIM(Raw_Data!F650))</f>
        <v>Enterprise</v>
      </c>
      <c r="G650" t="str">
        <f>PROPER(TRIM(Raw_Data!G650))</f>
        <v>Monitor</v>
      </c>
      <c r="H650" t="str">
        <f>PROPER(TRIM(Raw_Data!H650))</f>
        <v>Monitor 32</v>
      </c>
      <c r="I650">
        <f>IFERROR(MAX(0,VALUE(Raw_Data!I650)),0)</f>
        <v>7</v>
      </c>
      <c r="J650" s="13">
        <f>IFERROR(VALUE(Raw_Data!J650),0)</f>
        <v>24179</v>
      </c>
      <c r="K650" s="14">
        <f>IFERROR(VALUE(Raw_Data!K650),0)</f>
        <v>0.1</v>
      </c>
      <c r="L650" t="str">
        <f>PROPER(TRIM(Raw_Data!L650))</f>
        <v>Cancelled</v>
      </c>
      <c r="M650" s="13">
        <f t="shared" si="80"/>
        <v>169253</v>
      </c>
      <c r="N650" s="13">
        <f t="shared" si="81"/>
        <v>16925.3</v>
      </c>
      <c r="O650" s="13">
        <f t="shared" si="82"/>
        <v>152327.7</v>
      </c>
      <c r="P650" s="13">
        <f t="shared" si="83"/>
        <v>118477.1</v>
      </c>
      <c r="Q650" s="13">
        <f t="shared" si="84"/>
        <v>33850.6</v>
      </c>
      <c r="R650" s="10">
        <f t="shared" si="85"/>
        <v>0.222222222222222</v>
      </c>
      <c r="S650" t="str">
        <f t="shared" si="86"/>
        <v>Jun-2026</v>
      </c>
      <c r="T650" t="str">
        <f t="shared" si="87"/>
        <v>OK</v>
      </c>
    </row>
    <row r="651" spans="1:20">
      <c r="A651" t="str">
        <f>TRIM(Raw_Data!A651)</f>
        <v>ORD-10650</v>
      </c>
      <c r="B651" s="12">
        <f>IFERROR(IF(ISNUMBER(Raw_Data!B651),Raw_Data!B651,DATEVALUE(Raw_Data!B651)),"")</f>
        <v>46199</v>
      </c>
      <c r="C651" t="str">
        <f>PROPER(TRIM(Raw_Data!C651))</f>
        <v>Bhoomika</v>
      </c>
      <c r="D651" t="str">
        <f>IF(TRIM(Raw_Data!D651)="Bangalore","Bengaluru",IF(TRIM(Raw_Data!D651)="Mysore","Mysuru",IF(TRIM(Raw_Data!D651)="Cochin","Kochi",PROPER(TRIM(Raw_Data!D651)))))</f>
        <v>Mumbai</v>
      </c>
      <c r="E651" t="str">
        <f>PROPER(TRIM(Raw_Data!E651))</f>
        <v>Corporate</v>
      </c>
      <c r="F651" t="str">
        <f>PROPER(TRIM(Raw_Data!F651))</f>
        <v>Smb</v>
      </c>
      <c r="G651" t="str">
        <f>PROPER(TRIM(Raw_Data!G651))</f>
        <v>Headset</v>
      </c>
      <c r="H651" t="str">
        <f>PROPER(TRIM(Raw_Data!H651))</f>
        <v>Headset Office</v>
      </c>
      <c r="I651">
        <f>IFERROR(MAX(0,VALUE(Raw_Data!I651)),0)</f>
        <v>1</v>
      </c>
      <c r="J651" s="13">
        <f>IFERROR(VALUE(Raw_Data!J651),0)</f>
        <v>5154</v>
      </c>
      <c r="K651" s="14">
        <f>IFERROR(VALUE(Raw_Data!K651),0)</f>
        <v>0</v>
      </c>
      <c r="L651" t="str">
        <f>PROPER(TRIM(Raw_Data!L651))</f>
        <v>Returned</v>
      </c>
      <c r="M651" s="13">
        <f t="shared" si="80"/>
        <v>5154</v>
      </c>
      <c r="N651" s="13">
        <f t="shared" si="81"/>
        <v>0</v>
      </c>
      <c r="O651" s="13">
        <f t="shared" si="82"/>
        <v>5154</v>
      </c>
      <c r="P651" s="13">
        <f t="shared" si="83"/>
        <v>3092.4</v>
      </c>
      <c r="Q651" s="13">
        <f t="shared" si="84"/>
        <v>2061.6</v>
      </c>
      <c r="R651" s="10">
        <f t="shared" si="85"/>
        <v>0.4</v>
      </c>
      <c r="S651" t="str">
        <f t="shared" si="86"/>
        <v>Jun-2026</v>
      </c>
      <c r="T651" t="str">
        <f t="shared" si="87"/>
        <v>OK</v>
      </c>
    </row>
  </sheetData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showGridLines="0" zoomScale="59" zoomScaleNormal="59" workbookViewId="0">
      <selection activeCell="K23" sqref="K23"/>
    </sheetView>
  </sheetViews>
  <sheetFormatPr defaultColWidth="9" defaultRowHeight="14.4"/>
  <cols>
    <col min="1" max="12" width="14" customWidth="1"/>
  </cols>
  <sheetData>
    <row r="1" spans="1:12">
      <c r="A1" s="1" t="s">
        <v>1134</v>
      </c>
    </row>
    <row r="4" spans="1:12">
      <c r="A4" s="2" t="s">
        <v>1135</v>
      </c>
      <c r="C4" s="2" t="s">
        <v>1136</v>
      </c>
      <c r="E4" s="2" t="s">
        <v>1130</v>
      </c>
      <c r="G4" s="2" t="s">
        <v>1137</v>
      </c>
      <c r="I4" s="2" t="s">
        <v>1138</v>
      </c>
    </row>
    <row r="5" spans="1:12">
      <c r="A5" s="3">
        <f>COUNTA(Cleaned_Data!A2:A651)</f>
        <v>650</v>
      </c>
      <c r="C5" s="4">
        <f>SUM(Cleaned_Data!O2:O651)</f>
        <v>45625432.7</v>
      </c>
      <c r="E5" s="4">
        <f>SUM(Cleaned_Data!Q2:Q651)</f>
        <v>9426744.34</v>
      </c>
      <c r="G5" s="5">
        <f>IFERROR(C13/C12,0)</f>
        <v>1.44437495576848</v>
      </c>
      <c r="I5" s="4">
        <f>IFERROR(C12/C11,0)</f>
        <v>0.663006076624848</v>
      </c>
    </row>
    <row r="9" spans="1:12">
      <c r="A9" s="6" t="s">
        <v>1139</v>
      </c>
      <c r="B9" s="6" t="s">
        <v>1136</v>
      </c>
      <c r="C9" s="6" t="s">
        <v>1130</v>
      </c>
      <c r="E9" s="6" t="s">
        <v>15</v>
      </c>
      <c r="F9" s="6" t="s">
        <v>1136</v>
      </c>
      <c r="H9" s="6" t="s">
        <v>11</v>
      </c>
      <c r="I9" s="6" t="s">
        <v>1136</v>
      </c>
      <c r="K9" s="6" t="s">
        <v>1140</v>
      </c>
      <c r="L9" s="6" t="s">
        <v>1141</v>
      </c>
    </row>
    <row r="10" spans="1:12">
      <c r="A10" s="7">
        <v>46023</v>
      </c>
      <c r="B10">
        <f>SUMIFS(Cleaned_Data!$O:$O,Cleaned_Data!$B:$B,"&gt;="&amp;A10,Cleaned_Data!$B:$B,"&lt;"&amp;EDATE(A10,1))</f>
        <v>4885314.42</v>
      </c>
      <c r="C10">
        <f>SUMIFS(Cleaned_Data!$Q:$Q,Cleaned_Data!$B:$B,"&gt;="&amp;A10,Cleaned_Data!$B:$B,"&lt;"&amp;EDATE(A10,1))</f>
        <v>996608.71</v>
      </c>
      <c r="E10" t="s">
        <v>27</v>
      </c>
      <c r="F10">
        <f>SUMIFS(Cleaned_Data!$O:$O,Cleaned_Data!$G:$G,E10)</f>
        <v>29762238.08</v>
      </c>
      <c r="H10" t="s">
        <v>89</v>
      </c>
      <c r="I10">
        <f>SUMIFS(Cleaned_Data!$O:$O,Cleaned_Data!$C:$C,H10)</f>
        <v>5668604.47</v>
      </c>
      <c r="K10" t="s">
        <v>51</v>
      </c>
      <c r="L10">
        <f>COUNTIF(Cleaned_Data!$L:$L,K10)</f>
        <v>330</v>
      </c>
    </row>
    <row r="11" spans="1:12">
      <c r="A11" s="7">
        <v>46054</v>
      </c>
      <c r="B11">
        <f>SUMIFS(Cleaned_Data!$O:$O,Cleaned_Data!$B:$B,"&gt;="&amp;A11,Cleaned_Data!$B:$B,"&lt;"&amp;EDATE(A11,1))</f>
        <v>5712651.88</v>
      </c>
      <c r="C11">
        <f>SUMIFS(Cleaned_Data!$Q:$Q,Cleaned_Data!$B:$B,"&gt;="&amp;A11,Cleaned_Data!$B:$B,"&lt;"&amp;EDATE(A11,1))</f>
        <v>1212031.38</v>
      </c>
      <c r="E11" t="s">
        <v>61</v>
      </c>
      <c r="F11">
        <f>SUMIFS(Cleaned_Data!$O:$O,Cleaned_Data!$G:$G,E11)</f>
        <v>10991984.12</v>
      </c>
      <c r="H11" t="s">
        <v>23</v>
      </c>
      <c r="I11">
        <f>SUMIFS(Cleaned_Data!$O:$O,Cleaned_Data!$C:$C,H11)</f>
        <v>5315515.91</v>
      </c>
      <c r="K11" t="s">
        <v>29</v>
      </c>
      <c r="L11">
        <f>COUNTIF(Cleaned_Data!$L:$L,K11)</f>
        <v>95</v>
      </c>
    </row>
    <row r="12" spans="1:12">
      <c r="A12" s="7">
        <v>46082</v>
      </c>
      <c r="B12">
        <f>SUMIFS(Cleaned_Data!$O:$O,Cleaned_Data!$B:$B,"&gt;="&amp;A12,Cleaned_Data!$B:$B,"&lt;"&amp;EDATE(A12,1))</f>
        <v>3723352.93</v>
      </c>
      <c r="C12">
        <f>SUMIFS(Cleaned_Data!$Q:$Q,Cleaned_Data!$B:$B,"&gt;="&amp;A12,Cleaned_Data!$B:$B,"&lt;"&amp;EDATE(A12,1))</f>
        <v>803584.17</v>
      </c>
      <c r="E12" t="s">
        <v>34</v>
      </c>
      <c r="F12">
        <f>SUMIFS(Cleaned_Data!$O:$O,Cleaned_Data!$G:$G,E12)</f>
        <v>1585946.59</v>
      </c>
      <c r="H12" t="s">
        <v>39</v>
      </c>
      <c r="I12">
        <f>SUMIFS(Cleaned_Data!$O:$O,Cleaned_Data!$C:$C,H12)</f>
        <v>6463421.55</v>
      </c>
      <c r="K12" t="s">
        <v>57</v>
      </c>
      <c r="L12">
        <f>COUNTIF(Cleaned_Data!$L:$L,K12)</f>
        <v>108</v>
      </c>
    </row>
    <row r="13" spans="1:12">
      <c r="A13" s="7">
        <v>46113</v>
      </c>
      <c r="B13">
        <f>SUMIFS(Cleaned_Data!$O:$O,Cleaned_Data!$B:$B,"&gt;="&amp;A13,Cleaned_Data!$B:$B,"&lt;"&amp;EDATE(A13,1))</f>
        <v>5144270.23</v>
      </c>
      <c r="C13">
        <f>SUMIFS(Cleaned_Data!$Q:$Q,Cleaned_Data!$B:$B,"&gt;="&amp;A13,Cleaned_Data!$B:$B,"&lt;"&amp;EDATE(A13,1))</f>
        <v>1160676.85</v>
      </c>
      <c r="E13" t="s">
        <v>42</v>
      </c>
      <c r="F13">
        <f>SUMIFS(Cleaned_Data!$O:$O,Cleaned_Data!$G:$G,E13)</f>
        <v>1278533.12</v>
      </c>
      <c r="H13" t="s">
        <v>110</v>
      </c>
      <c r="I13">
        <f>SUMIFS(Cleaned_Data!$O:$O,Cleaned_Data!$C:$C,H13)</f>
        <v>6143733.76</v>
      </c>
      <c r="K13" t="s">
        <v>36</v>
      </c>
      <c r="L13">
        <f>COUNTIF(Cleaned_Data!$L:$L,K13)</f>
        <v>117</v>
      </c>
    </row>
    <row r="14" spans="1:12">
      <c r="A14" s="7">
        <v>46143</v>
      </c>
      <c r="B14">
        <f>SUMIFS(Cleaned_Data!$O:$O,Cleaned_Data!$B:$B,"&gt;="&amp;A14,Cleaned_Data!$B:$B,"&lt;"&amp;EDATE(A14,1))</f>
        <v>5441464.65</v>
      </c>
      <c r="C14">
        <f>SUMIFS(Cleaned_Data!$Q:$Q,Cleaned_Data!$B:$B,"&gt;="&amp;A14,Cleaned_Data!$B:$B,"&lt;"&amp;EDATE(A14,1))</f>
        <v>1078937.44</v>
      </c>
      <c r="E14" t="s">
        <v>49</v>
      </c>
      <c r="F14">
        <f>SUMIFS(Cleaned_Data!$O:$O,Cleaned_Data!$G:$G,E14)</f>
        <v>2006730.79</v>
      </c>
      <c r="H14" t="s">
        <v>46</v>
      </c>
      <c r="I14">
        <f>SUMIFS(Cleaned_Data!$O:$O,Cleaned_Data!$C:$C,H14)</f>
        <v>4553023.38</v>
      </c>
    </row>
    <row r="15" spans="1:12">
      <c r="A15" s="7">
        <v>46174</v>
      </c>
      <c r="B15">
        <f>SUMIFS(Cleaned_Data!$O:$O,Cleaned_Data!$B:$B,"&gt;="&amp;A15,Cleaned_Data!$B:$B,"&lt;"&amp;EDATE(A15,1))</f>
        <v>5502775.47</v>
      </c>
      <c r="C15">
        <f>SUMIFS(Cleaned_Data!$Q:$Q,Cleaned_Data!$B:$B,"&gt;="&amp;A15,Cleaned_Data!$B:$B,"&lt;"&amp;EDATE(A15,1))</f>
        <v>1079226.59</v>
      </c>
      <c r="H15" t="s">
        <v>54</v>
      </c>
      <c r="I15">
        <f>SUMIFS(Cleaned_Data!$O:$O,Cleaned_Data!$C:$C,H15)</f>
        <v>5969906.34</v>
      </c>
    </row>
    <row r="16" spans="1:12">
      <c r="A16" s="7">
        <v>46204</v>
      </c>
      <c r="B16">
        <f>SUMIFS(Cleaned_Data!$O:$O,Cleaned_Data!$B:$B,"&gt;="&amp;A16,Cleaned_Data!$B:$B,"&lt;"&amp;EDATE(A16,1))</f>
        <v>9441698.2</v>
      </c>
      <c r="C16">
        <f>SUMIFS(Cleaned_Data!$Q:$Q,Cleaned_Data!$B:$B,"&gt;="&amp;A16,Cleaned_Data!$B:$B,"&lt;"&amp;EDATE(A16,1))</f>
        <v>1890210.63</v>
      </c>
      <c r="H16" t="s">
        <v>70</v>
      </c>
      <c r="I16">
        <f>SUMIFS(Cleaned_Data!$O:$O,Cleaned_Data!$C:$C,H16)</f>
        <v>5233823.47</v>
      </c>
    </row>
    <row r="17" spans="1:9">
      <c r="A17" s="7">
        <v>46235</v>
      </c>
      <c r="B17">
        <f>SUMIFS(Cleaned_Data!$O:$O,Cleaned_Data!$B:$B,"&gt;="&amp;A17,Cleaned_Data!$B:$B,"&lt;"&amp;EDATE(A17,1))</f>
        <v>4511273.63</v>
      </c>
      <c r="C17">
        <f>SUMIFS(Cleaned_Data!$Q:$Q,Cleaned_Data!$B:$B,"&gt;="&amp;A17,Cleaned_Data!$B:$B,"&lt;"&amp;EDATE(A17,1))</f>
        <v>967086.96</v>
      </c>
      <c r="H17" t="s">
        <v>74</v>
      </c>
      <c r="I17">
        <f>SUMIFS(Cleaned_Data!$O:$O,Cleaned_Data!$C:$C,H17)</f>
        <v>6277403.82</v>
      </c>
    </row>
    <row r="18" spans="1:9">
      <c r="A18" s="7">
        <v>46266</v>
      </c>
      <c r="B18">
        <f>SUMIFS(Cleaned_Data!$O:$O,Cleaned_Data!$B:$B,"&gt;="&amp;A18,Cleaned_Data!$B:$B,"&lt;"&amp;EDATE(A18,1))</f>
        <v>0</v>
      </c>
      <c r="C18">
        <f>SUMIFS(Cleaned_Data!$Q:$Q,Cleaned_Data!$B:$B,"&gt;="&amp;A18,Cleaned_Data!$B:$B,"&lt;"&amp;EDATE(A18,1))</f>
        <v>0</v>
      </c>
    </row>
    <row r="36" ht="18" spans="1:4">
      <c r="A36" s="8" t="s">
        <v>1142</v>
      </c>
    </row>
    <row r="37" spans="1:4">
      <c r="A37" s="6" t="s">
        <v>11</v>
      </c>
      <c r="B37" s="6" t="s">
        <v>1136</v>
      </c>
      <c r="C37" s="6" t="s">
        <v>1130</v>
      </c>
      <c r="D37" s="6" t="s">
        <v>1143</v>
      </c>
    </row>
    <row r="38" spans="1:4">
      <c r="A38" t="s">
        <v>89</v>
      </c>
      <c r="B38" s="9">
        <f>SUMIFS(Cleaned_Data!$O:$O,Cleaned_Data!$C:$C,A38)</f>
        <v>5668604.47</v>
      </c>
      <c r="C38" s="9">
        <f>SUMIFS(Cleaned_Data!$Q:$Q,Cleaned_Data!$C:$C,A38)</f>
        <v>1138324.8</v>
      </c>
      <c r="D38" s="10">
        <f t="shared" ref="D38:D45" si="0">IFERROR(C38/B38,0)</f>
        <v>0.200812176263905</v>
      </c>
    </row>
    <row r="39" spans="1:4">
      <c r="A39" t="s">
        <v>23</v>
      </c>
      <c r="B39" s="9">
        <f>SUMIFS(Cleaned_Data!$O:$O,Cleaned_Data!$C:$C,A39)</f>
        <v>5315515.91</v>
      </c>
      <c r="C39" s="9">
        <f>SUMIFS(Cleaned_Data!$Q:$Q,Cleaned_Data!$C:$C,A39)</f>
        <v>1145024.02</v>
      </c>
      <c r="D39" s="10">
        <f t="shared" si="0"/>
        <v>0.215411643834211</v>
      </c>
    </row>
    <row r="40" spans="1:4">
      <c r="A40" t="s">
        <v>39</v>
      </c>
      <c r="B40" s="9">
        <f>SUMIFS(Cleaned_Data!$O:$O,Cleaned_Data!$C:$C,A40)</f>
        <v>6463421.55</v>
      </c>
      <c r="C40" s="9">
        <f>SUMIFS(Cleaned_Data!$Q:$Q,Cleaned_Data!$C:$C,A40)</f>
        <v>1399030.8</v>
      </c>
      <c r="D40" s="10">
        <f t="shared" si="0"/>
        <v>0.216453590281451</v>
      </c>
    </row>
    <row r="41" spans="1:4">
      <c r="A41" t="s">
        <v>110</v>
      </c>
      <c r="B41" s="9">
        <f>SUMIFS(Cleaned_Data!$O:$O,Cleaned_Data!$C:$C,A41)</f>
        <v>6143733.76</v>
      </c>
      <c r="C41" s="9">
        <f>SUMIFS(Cleaned_Data!$Q:$Q,Cleaned_Data!$C:$C,A41)</f>
        <v>1225488.09</v>
      </c>
      <c r="D41" s="10">
        <f t="shared" si="0"/>
        <v>0.199469595830923</v>
      </c>
    </row>
    <row r="42" spans="1:4">
      <c r="A42" t="s">
        <v>46</v>
      </c>
      <c r="B42" s="9">
        <f>SUMIFS(Cleaned_Data!$O:$O,Cleaned_Data!$C:$C,A42)</f>
        <v>4553023.38</v>
      </c>
      <c r="C42" s="9">
        <f>SUMIFS(Cleaned_Data!$Q:$Q,Cleaned_Data!$C:$C,A42)</f>
        <v>984316</v>
      </c>
      <c r="D42" s="10">
        <f t="shared" si="0"/>
        <v>0.216189533382102</v>
      </c>
    </row>
    <row r="43" spans="1:4">
      <c r="A43" t="s">
        <v>54</v>
      </c>
      <c r="B43" s="9">
        <f>SUMIFS(Cleaned_Data!$O:$O,Cleaned_Data!$C:$C,A43)</f>
        <v>5969906.34</v>
      </c>
      <c r="C43" s="9">
        <f>SUMIFS(Cleaned_Data!$Q:$Q,Cleaned_Data!$C:$C,A43)</f>
        <v>1258063.85</v>
      </c>
      <c r="D43" s="10">
        <f t="shared" si="0"/>
        <v>0.210734269241484</v>
      </c>
    </row>
    <row r="44" spans="1:4">
      <c r="A44" t="s">
        <v>70</v>
      </c>
      <c r="B44" s="9">
        <f>SUMIFS(Cleaned_Data!$O:$O,Cleaned_Data!$C:$C,A44)</f>
        <v>5233823.47</v>
      </c>
      <c r="C44" s="9">
        <f>SUMIFS(Cleaned_Data!$Q:$Q,Cleaned_Data!$C:$C,A44)</f>
        <v>1045224.49</v>
      </c>
      <c r="D44" s="10">
        <f t="shared" si="0"/>
        <v>0.199705721064375</v>
      </c>
    </row>
    <row r="45" spans="1:4">
      <c r="A45" t="s">
        <v>74</v>
      </c>
      <c r="B45" s="9">
        <f>SUMIFS(Cleaned_Data!$O:$O,Cleaned_Data!$C:$C,A45)</f>
        <v>6277403.82</v>
      </c>
      <c r="C45" s="9">
        <f>SUMIFS(Cleaned_Data!$Q:$Q,Cleaned_Data!$C:$C,A45)</f>
        <v>1231272.29</v>
      </c>
      <c r="D45" s="10">
        <f t="shared" si="0"/>
        <v>0.196143553179919</v>
      </c>
    </row>
  </sheetData>
  <mergeCells count="11">
    <mergeCell ref="A4:B4"/>
    <mergeCell ref="C4:D4"/>
    <mergeCell ref="E4:F4"/>
    <mergeCell ref="G4:H4"/>
    <mergeCell ref="I4:J4"/>
    <mergeCell ref="A1:L2"/>
    <mergeCell ref="A5:B6"/>
    <mergeCell ref="C5:D6"/>
    <mergeCell ref="E5:F6"/>
    <mergeCell ref="G5:H6"/>
    <mergeCell ref="I5:J6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Read_Me</vt:lpstr>
      <vt:lpstr>Raw_Data</vt:lpstr>
      <vt:lpstr>Cleaned_Data</vt:lpstr>
      <vt:lpstr>Excel_Dashboard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Sandhya Gm</cp:lastModifiedBy>
  <dcterms:created xsi:type="dcterms:W3CDTF">2026-09-24T14:56:00Z</dcterms:created>
  <dcterms:modified xsi:type="dcterms:W3CDTF">2026-10-13T07:39:22Z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92006E06EB804F97901695E72D945710_13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